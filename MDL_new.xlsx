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solidated" sheetId="1" r:id="rId5"/>
  </sheets>
  <definedNames>
    <definedName hidden="1" localSheetId="0" name="_xlnm._FilterDatabase">consolidated!$A$1:$I$610</definedName>
  </definedNames>
  <calcPr/>
</workbook>
</file>

<file path=xl/sharedStrings.xml><?xml version="1.0" encoding="utf-8"?>
<sst xmlns="http://schemas.openxmlformats.org/spreadsheetml/2006/main" count="3641" uniqueCount="1783">
  <si>
    <t>TITLE</t>
  </si>
  <si>
    <t>MDL_TYPE</t>
  </si>
  <si>
    <t>ASSIGNED</t>
  </si>
  <si>
    <t>JUDGE</t>
  </si>
  <si>
    <t>DISTRICT</t>
  </si>
  <si>
    <t>DATE_TRANSFERRED</t>
  </si>
  <si>
    <t>DATE_CLOSED</t>
  </si>
  <si>
    <t>YEARS_PENDING</t>
  </si>
  <si>
    <t>MASTER_DOCKET_NO</t>
  </si>
  <si>
    <t>NOTES</t>
  </si>
  <si>
    <t>1654 IN RE: Compression Labs, Inc., Patent Litigation</t>
  </si>
  <si>
    <t>Intellectual Property</t>
  </si>
  <si>
    <t>DN/complete/manual</t>
  </si>
  <si>
    <t>Jeremy D. Fogel</t>
  </si>
  <si>
    <t>CAN</t>
  </si>
  <si>
    <t>5:05-md-01654</t>
  </si>
  <si>
    <t>1655 IN RE: USF Red Star Inc. Worker Notification Litigation</t>
  </si>
  <si>
    <t>DN/complete/no matching orders</t>
  </si>
  <si>
    <t>Petrese B. Tucker</t>
  </si>
  <si>
    <t>PAE</t>
  </si>
  <si>
    <t>2:05-md-01655</t>
  </si>
  <si>
    <t>1656 IN RE: CP Ships Ltd. Securities Litigation</t>
  </si>
  <si>
    <t>Securities</t>
  </si>
  <si>
    <t>James D. Whittemore</t>
  </si>
  <si>
    <t>FLM</t>
  </si>
  <si>
    <t>8:05-md-01656</t>
  </si>
  <si>
    <t>1657 IN RE: Vioxx Marketing, Sales Practices and Products Liability Litigation</t>
  </si>
  <si>
    <t>Products Liability</t>
  </si>
  <si>
    <t>Complete/already downloaded</t>
  </si>
  <si>
    <t>Eldon E. Fallon</t>
  </si>
  <si>
    <t>LAE</t>
  </si>
  <si>
    <t>2:05-md-01657</t>
  </si>
  <si>
    <t>1658 IN RE: Merck &amp; Co., Inc., Securities, Derivative &amp; ERISA Litigation</t>
  </si>
  <si>
    <t>Stanley R. Chesler</t>
  </si>
  <si>
    <t>NJ</t>
  </si>
  <si>
    <t>2:05-cv-01151</t>
  </si>
  <si>
    <t>1659 IN RE: Nortel Networks Corp. Securities Litigation</t>
  </si>
  <si>
    <t>Loretta A. Preska</t>
  </si>
  <si>
    <t>NYS</t>
  </si>
  <si>
    <t>1:05-md-01659</t>
  </si>
  <si>
    <t>1660 IN RE: PharmaStem Therapeutics, Inc., Patent Litigation</t>
  </si>
  <si>
    <t>Gregory Moneta Sleet</t>
  </si>
  <si>
    <t>DE</t>
  </si>
  <si>
    <t>1:05-md-01660, 1:02-cv-00148</t>
  </si>
  <si>
    <t>1661 IN RE: Rivastigmine Patent Litigation</t>
  </si>
  <si>
    <t>DN/complete/co-work</t>
  </si>
  <si>
    <t>Harold Baer Jr</t>
  </si>
  <si>
    <t>1:05-md-01661</t>
  </si>
  <si>
    <t>1665 IN RE: Acacia Media Technologies Corp. Patent Litigation</t>
  </si>
  <si>
    <t>James Ware</t>
  </si>
  <si>
    <t>5:05-md-01665, 5:05-cv-01114</t>
  </si>
  <si>
    <t>1668 IN RE: Federal National Mortgage Association Securities, Derivative &amp; ERISA Litigation</t>
  </si>
  <si>
    <t>Richard J. Leon</t>
  </si>
  <si>
    <t>DC</t>
  </si>
  <si>
    <t>1:05-mc-00234</t>
  </si>
  <si>
    <t>1671 IN RE: Reformulated Gasoline (RFG) Antitrust &amp; Patent Litigation</t>
  </si>
  <si>
    <t>Antitrust</t>
  </si>
  <si>
    <t>Christina A. Snyder</t>
  </si>
  <si>
    <t>CAC</t>
  </si>
  <si>
    <t>2:05-ml-01671</t>
  </si>
  <si>
    <t>1672 IN RE: Express Scripts, Inc., Pharmacy Benefits Management Litigation</t>
  </si>
  <si>
    <t>Miscellaneous</t>
  </si>
  <si>
    <t>Henry Edward Autrey</t>
  </si>
  <si>
    <t>MOE</t>
  </si>
  <si>
    <t>4:05-md-01672</t>
  </si>
  <si>
    <t>1673 IN RE: Circular Thermostat Antitrust Litigation</t>
  </si>
  <si>
    <t>Not to be assigned</t>
  </si>
  <si>
    <t>William Haskell Alsup</t>
  </si>
  <si>
    <t>3:05-md-01673, M:05-cv-01673</t>
  </si>
  <si>
    <t>1674 IN RE: Community Bank of Northern Virginia Mortgage Lending Practices Litigation</t>
  </si>
  <si>
    <t>Arthur J. Schwab</t>
  </si>
  <si>
    <t>PAW</t>
  </si>
  <si>
    <t>2:03-cv-00425</t>
  </si>
  <si>
    <t>1675 IN RE: ACE Limited Securities Litigation</t>
  </si>
  <si>
    <t>Timothy J. Savage</t>
  </si>
  <si>
    <t>2:05-md-01675</t>
  </si>
  <si>
    <t>1677 IN RE: NovaStar Home Mortgage Inc. Mortgage Lending Practices Litigation</t>
  </si>
  <si>
    <t>BHS/complete/manual download</t>
  </si>
  <si>
    <t>William T. Moore Jr</t>
  </si>
  <si>
    <t>GAS</t>
  </si>
  <si>
    <t>4:05-cv-01677</t>
  </si>
  <si>
    <t>BHS manually downloaded electronic records from bloomberg on 6/8</t>
  </si>
  <si>
    <t>1682 IN RE: Hydrogen Peroxide Antitrust Litigation</t>
  </si>
  <si>
    <t>Stewart R. Dalzell</t>
  </si>
  <si>
    <t>2:05-cv-00666</t>
  </si>
  <si>
    <t>1684 IN RE: Plastics Additives Antitrust Litigation (No. II)</t>
  </si>
  <si>
    <t>Legrome D. Davis</t>
  </si>
  <si>
    <t>2:05-md-01684, 2:03-cv-02038</t>
  </si>
  <si>
    <t>1686 IN RE: Iraq and Afghanistan Detainees</t>
  </si>
  <si>
    <t>Thomas F. Hogan</t>
  </si>
  <si>
    <t>1:06-mc-00145, 1:05-mc-00267</t>
  </si>
  <si>
    <t>1687 IN RE: Ford Motor Co. E-350 Van PL (No. II)</t>
  </si>
  <si>
    <t>Esther Salas</t>
  </si>
  <si>
    <t>2:03-cv-04558</t>
  </si>
  <si>
    <t>1688 IN RE: Pfizer Inc. SEC, DER and ERISA</t>
  </si>
  <si>
    <t>Laura Taylor Swain</t>
  </si>
  <si>
    <t>1:05-md-01688</t>
  </si>
  <si>
    <t>1689 IN RE: Air Crash Near Woodbury</t>
  </si>
  <si>
    <t>Air Disaster</t>
  </si>
  <si>
    <t>DN/complete/no electronic records avail</t>
  </si>
  <si>
    <t>Charles P. Sifton</t>
  </si>
  <si>
    <t>NYE</t>
  </si>
  <si>
    <t>1:05-md-01689</t>
  </si>
  <si>
    <t>Confirmed no electronic records available on Lexis 6/8/26; BHS confirmed no electronic records on Bloomberg on 6/8</t>
  </si>
  <si>
    <t>1695 IN RE: Veeco Instruments Inc. SEC</t>
  </si>
  <si>
    <t>Colleen McMahon</t>
  </si>
  <si>
    <t>1:05-md-01695</t>
  </si>
  <si>
    <t>1696 IN RE: Sierra Wireless, Inc., SEC</t>
  </si>
  <si>
    <t>Sidney H. Stein</t>
  </si>
  <si>
    <t>1:05-md-01696</t>
  </si>
  <si>
    <t>1698 IN RE: American General Life &amp; Accident Insurance Co. Retiree Benefits "ERISA"</t>
  </si>
  <si>
    <t>Employment Practices</t>
  </si>
  <si>
    <t>BHS/complete/co-work</t>
  </si>
  <si>
    <t>Henry Lee Adams Jr.</t>
  </si>
  <si>
    <t>3:05-md-01698</t>
  </si>
  <si>
    <t>1699 IN RE: Bextra and Celebrex Marketing, SP &amp; PL</t>
  </si>
  <si>
    <t>Sales Practices</t>
  </si>
  <si>
    <t>Charles R. Breyer</t>
  </si>
  <si>
    <t>3:05-md-01699</t>
  </si>
  <si>
    <t>1702 IN RE: Air Crash Near Kirksville, Missouri - 10/19/04</t>
  </si>
  <si>
    <t>Jean C. Hamilton</t>
  </si>
  <si>
    <t>4:05-md-01702</t>
  </si>
  <si>
    <t>1703 IN RE: Sears, Roebuck &amp; Co. Tools Marketing &amp; SP</t>
  </si>
  <si>
    <t>John Francis Grady</t>
  </si>
  <si>
    <t>ILN</t>
  </si>
  <si>
    <t>1:05-cv-04742</t>
  </si>
  <si>
    <t>1704 IN RE: M3Power Razor System Marketing &amp; SP</t>
  </si>
  <si>
    <t>Douglas Preston Woodlock</t>
  </si>
  <si>
    <t>MA</t>
  </si>
  <si>
    <t>1:05-cv-11177</t>
  </si>
  <si>
    <t>1705 IN RE: Xybernaut Corp. SEC</t>
  </si>
  <si>
    <t>Leonie M. Brinkema</t>
  </si>
  <si>
    <t>VAE</t>
  </si>
  <si>
    <t>1:05-cv-01705</t>
  </si>
  <si>
    <t>Confirmed no electronic records available on Lexis 6/8/26; BHS downloaded only order available from Bloomberg on 6/8/26, rest are not available</t>
  </si>
  <si>
    <t>1706 IN RE: Doral Financial Corp. SEC</t>
  </si>
  <si>
    <t>Jed Saul Rakoff</t>
  </si>
  <si>
    <t>1:05-md-01706</t>
  </si>
  <si>
    <t>1708 IN RE: Guidant Corp. Implantable Defibrillators PL</t>
  </si>
  <si>
    <t>Donovan W. Frank</t>
  </si>
  <si>
    <t>MN</t>
  </si>
  <si>
    <t>0:05-md-01708</t>
  </si>
  <si>
    <t>1712 IN RE: American Investors Life Insurance Co. Annuity Marketing &amp; SP</t>
  </si>
  <si>
    <t>Mary A. McLaughlin</t>
  </si>
  <si>
    <t>2:05-md-01712</t>
  </si>
  <si>
    <t>1713 IN RE: Bank of America ATM Fee</t>
  </si>
  <si>
    <t>(Double Check)</t>
  </si>
  <si>
    <t>Patti B. Saris</t>
  </si>
  <si>
    <t>1:05-cv-10713</t>
  </si>
  <si>
    <t>1714 IN RE: Rhodia S.A. SEC</t>
  </si>
  <si>
    <t>Deborah A. Batts</t>
  </si>
  <si>
    <t>1:05-md-01714</t>
  </si>
  <si>
    <t>1715 IN RE: Ameriquest Mortgage Co. Mortgage Lending Practices Litigation</t>
  </si>
  <si>
    <t>Marvin E. Aspen</t>
  </si>
  <si>
    <t>1:05-cv-7097</t>
  </si>
  <si>
    <t>1717 IN RE: Intel Corp. Microprocessor Antitrust Litigation</t>
  </si>
  <si>
    <t>Leonard P. Stark</t>
  </si>
  <si>
    <t>1:05-md-01717</t>
  </si>
  <si>
    <t>1718 IN RE: Ford Motor Co. Speed Control Deactiviation Switch PL</t>
  </si>
  <si>
    <t>Bernard A. Friedman</t>
  </si>
  <si>
    <t>MIE</t>
  </si>
  <si>
    <t>2:05-md-01718</t>
  </si>
  <si>
    <t>1721 IN RE: Cessna 208 Series Aircraft PL</t>
  </si>
  <si>
    <t>Kathryn Hoefer Vratil</t>
  </si>
  <si>
    <t>KS</t>
  </si>
  <si>
    <t>2:05-md-01721</t>
  </si>
  <si>
    <t>1724 IN RE: Viagra PL</t>
  </si>
  <si>
    <t>Paul Arthur Magnuson</t>
  </si>
  <si>
    <t>0:06-md-01724</t>
  </si>
  <si>
    <t>1725 IN RE: Delphi Corp. SEC, DER &amp; "ERISA"</t>
  </si>
  <si>
    <t>Gerald Ellis Rosen</t>
  </si>
  <si>
    <t>2:05-md-01725</t>
  </si>
  <si>
    <t>1726 IN RE: Medtronic, Inc., Implantable Defibrillators PL</t>
  </si>
  <si>
    <t>James M. Rosenbaum</t>
  </si>
  <si>
    <t>0:05-md-01726</t>
  </si>
  <si>
    <t>1727 IN RE: COBRA Tax Shelters</t>
  </si>
  <si>
    <t>William T. Lawrence</t>
  </si>
  <si>
    <t>INS</t>
  </si>
  <si>
    <t>1:05-ml-09727</t>
  </si>
  <si>
    <t>1730 IN RE: Hypodermic Products Antitrust Litigation</t>
  </si>
  <si>
    <t>Jose L. Linares</t>
  </si>
  <si>
    <t>2:05-cv-01602</t>
  </si>
  <si>
    <t>1733 IN RE: Teflon PL</t>
  </si>
  <si>
    <t>Ronald Earl Longstaff</t>
  </si>
  <si>
    <t>IAS</t>
  </si>
  <si>
    <t>4:06-md-01733</t>
  </si>
  <si>
    <t>1735 IN RE: Wal-Mart Wage and Hour EP</t>
  </si>
  <si>
    <t>Philip Martin Pro</t>
  </si>
  <si>
    <t>NV</t>
  </si>
  <si>
    <t>2:06-cv-00225</t>
  </si>
  <si>
    <t>1736 IN RE: Celexa and Lexapro PL</t>
  </si>
  <si>
    <t>Rodney W. Sippel</t>
  </si>
  <si>
    <t>4:06-md-01736</t>
  </si>
  <si>
    <t>1737 IN RE: American Honda Motor Co., Inc., Oil Filter PL</t>
  </si>
  <si>
    <t>2:06-ml-01737</t>
  </si>
  <si>
    <t>1739 IN RE: Grand Theft Auto Video Game Consumer (No. II)</t>
  </si>
  <si>
    <t>Richard Joseph Sullivan</t>
  </si>
  <si>
    <t>1:06-md-01739</t>
  </si>
  <si>
    <t>1740 IN RE: Canon U.S.A., Inc. Digital Cameras PL</t>
  </si>
  <si>
    <t>1:06-md-01740</t>
  </si>
  <si>
    <t>1741 IN RE: Isolagen, Inc., SEC &amp; DER</t>
  </si>
  <si>
    <t>Ronald Lawrence Buckwalter</t>
  </si>
  <si>
    <t>2:06-md-01741</t>
  </si>
  <si>
    <t>1742 IN RE: Ortho Evra PL</t>
  </si>
  <si>
    <t>David A. Katz</t>
  </si>
  <si>
    <t>OHN</t>
  </si>
  <si>
    <t>1:06-cv-40000</t>
  </si>
  <si>
    <t>1743 IN RE: American Family Mutual Insurance Co. Overtime Pay</t>
  </si>
  <si>
    <t>Wiley Young Daniel</t>
  </si>
  <si>
    <t>CO</t>
  </si>
  <si>
    <t>1:06-cv-17430</t>
  </si>
  <si>
    <t>1744 IN RE: Marsh &amp; McLennan Companies, Inc., SEC</t>
  </si>
  <si>
    <t>1:06-md-01744</t>
  </si>
  <si>
    <t>1745 IN RE: Live Concert Antitrust Litigation</t>
  </si>
  <si>
    <t>Stephen V. Wilson</t>
  </si>
  <si>
    <t>2:06-ml-01745</t>
  </si>
  <si>
    <t>1748 IN RE: Profiler PL</t>
  </si>
  <si>
    <t>G. Patrick Murphy</t>
  </si>
  <si>
    <t>ILS</t>
  </si>
  <si>
    <t>3:06-cv-01748</t>
  </si>
  <si>
    <t>1749 IN RE: General Motors Corp. SEC &amp; DER</t>
  </si>
  <si>
    <t>2:06-md-01749</t>
  </si>
  <si>
    <t>1750 IN RE: Sony BMG Audio Compact Disc</t>
  </si>
  <si>
    <t>Naomi Reice Buchwald</t>
  </si>
  <si>
    <t>1:06-md-01750</t>
  </si>
  <si>
    <t>1751 IN RE: Jamster Marketing</t>
  </si>
  <si>
    <t>Jeffrey T. Miller</t>
  </si>
  <si>
    <t>CAS</t>
  </si>
  <si>
    <t>3:05-cv-00819</t>
  </si>
  <si>
    <t>1753 IN RE: Standard Automotive Corp. Retiree Benefits "ERISA"</t>
  </si>
  <si>
    <t>Nancy Gertner</t>
  </si>
  <si>
    <t>1:05-cv-10355, 1:06-cv-10812?</t>
  </si>
  <si>
    <t>Confirmed no electronic records available on Lexis 6/8/26; BHS confirmed no electronic records available on 6/8/2026</t>
  </si>
  <si>
    <t>1754 IN RE: Apple iPod nano PL</t>
  </si>
  <si>
    <t>Ronald M. Whyte</t>
  </si>
  <si>
    <t>5:06-md-01754</t>
  </si>
  <si>
    <t>BHS downloaded four available records on 6/8/26. Rest are not available. Note that there were erroneous orders from a different MDL in the folder; BHS could not delete, received error message</t>
  </si>
  <si>
    <t>1755 IN RE: Bayou Hedge Funds Investment</t>
  </si>
  <si>
    <t>1:06-md-01755</t>
  </si>
  <si>
    <t>1760 IN RE: Aredia and Zometa PL</t>
  </si>
  <si>
    <t>Todd J. Campbell</t>
  </si>
  <si>
    <t>TNM</t>
  </si>
  <si>
    <t>3:06-md-01760</t>
  </si>
  <si>
    <t>1761 IN RE: Ditropan XL Antitrust Litigation</t>
  </si>
  <si>
    <t>GFB/complete/co-work</t>
  </si>
  <si>
    <t>Jeffrey S. White</t>
  </si>
  <si>
    <t>3:06-md-01761</t>
  </si>
  <si>
    <t>1763 IN RE: Human Tissue PL</t>
  </si>
  <si>
    <t>William J. Martini</t>
  </si>
  <si>
    <t>2:06-cv-00135</t>
  </si>
  <si>
    <t>1767 IN RE: H&amp;R Block Mortgage Corp. Prescreening</t>
  </si>
  <si>
    <t>Rudy J. Lozano</t>
  </si>
  <si>
    <t>INN</t>
  </si>
  <si>
    <t>2:06-md-00230</t>
  </si>
  <si>
    <t>1768 IN RE: Methyl Methacrylate (MMA) Antitrust Litigation</t>
  </si>
  <si>
    <t>2:06-md-01768, 2:10-md-01768</t>
  </si>
  <si>
    <t>1769 IN RE: Seroquel Products Liability Litigation</t>
  </si>
  <si>
    <t>DN/complete/supplemented RA download</t>
  </si>
  <si>
    <t>Anne C. Conway</t>
  </si>
  <si>
    <t>6:06-md-01769</t>
  </si>
  <si>
    <t>1770 IN RE: Wells Fargo Home Mortgage Overtime Pay</t>
  </si>
  <si>
    <t>Edward Milton Chen</t>
  </si>
  <si>
    <t>3:06-md-01770</t>
  </si>
  <si>
    <t>1771 IN RE: "A Million Little Pieces"</t>
  </si>
  <si>
    <t>Richard J. Holwell</t>
  </si>
  <si>
    <t>1:06-md-01771</t>
  </si>
  <si>
    <t>1772 IN RE: Series 7 Broker Qualification Exam Scoring</t>
  </si>
  <si>
    <t>John D. Bates</t>
  </si>
  <si>
    <t>1:06-mc-00355</t>
  </si>
  <si>
    <t>1775 IN RE: Air Cargo Shipping Services Antitrust Litigation</t>
  </si>
  <si>
    <t>Brian Mark Cogan</t>
  </si>
  <si>
    <t>1:06-md-01775</t>
  </si>
  <si>
    <t>1777 IN RE: SFBC International, Inc., SEC &amp; DER</t>
  </si>
  <si>
    <t>2:06-cv-00165</t>
  </si>
  <si>
    <t>1780 IN RE: Digital Music Antitrust Litigation</t>
  </si>
  <si>
    <t>1:06-md-01780</t>
  </si>
  <si>
    <t>1781 IN RE: Cintas Corp. Overtime Pay Arbitration</t>
  </si>
  <si>
    <t>Richard Gaylore Stearns</t>
  </si>
  <si>
    <t>3:06-md-01781</t>
  </si>
  <si>
    <t>1782 IN RE: Pharmacy Benefit Managers Antitrust Litigation</t>
  </si>
  <si>
    <t>C. Darnell Jones II</t>
  </si>
  <si>
    <t>2:06-md-01782</t>
  </si>
  <si>
    <t>1785 IN RE: Bausch &amp; Lomb Inc. Contact Lens Solution PL</t>
  </si>
  <si>
    <t>David C. Norton</t>
  </si>
  <si>
    <t>SC</t>
  </si>
  <si>
    <t>2:06-mn-77777</t>
  </si>
  <si>
    <t>1786 IN RE: H&amp;R Block, Inc., Express IRA Marketing</t>
  </si>
  <si>
    <t>Richard Everett Dorr</t>
  </si>
  <si>
    <t>MOW</t>
  </si>
  <si>
    <t>4:06-md-01786</t>
  </si>
  <si>
    <t>1788 IN RE: Qwest Communications International, Inc. SEC &amp; "ERISA" (No. II)</t>
  </si>
  <si>
    <t>Robert E. Blackburn</t>
  </si>
  <si>
    <t>1:06-cv-17880</t>
  </si>
  <si>
    <t>1789 IN RE: Fosamax PL</t>
  </si>
  <si>
    <t>John Fontaine Keenan</t>
  </si>
  <si>
    <t>1:06-md-01789</t>
  </si>
  <si>
    <t>1790 IN RE: Volkswagen and Audi Warranty Extension</t>
  </si>
  <si>
    <t>William G. Young</t>
  </si>
  <si>
    <t>1:07-md-01790</t>
  </si>
  <si>
    <t>1791 IN RE: IN RE: National Security Agency Telecommunications Records Litigation</t>
  </si>
  <si>
    <t>Vaughn R. Walker</t>
  </si>
  <si>
    <t>4:06-md-01791</t>
  </si>
  <si>
    <t>1792 IN RE: InPhonic, Inc., Wireless Phone Rebate</t>
  </si>
  <si>
    <t>Ellen Segal Huvelle</t>
  </si>
  <si>
    <t>1:06-mc-00507</t>
  </si>
  <si>
    <t>1793 IN RE: International Air Transportation Surcharge Antitrust Litigation</t>
  </si>
  <si>
    <t>3:06-md-01793</t>
  </si>
  <si>
    <t>1794 IN RE: Novartis Wage and Hour</t>
  </si>
  <si>
    <t>Paul Austin Crotty</t>
  </si>
  <si>
    <t>1:06-md-01794</t>
  </si>
  <si>
    <t>1796 IN RE: Department of Veterans Affairs (VA) Data Theft</t>
  </si>
  <si>
    <t>James Robertson</t>
  </si>
  <si>
    <t>1:06-mc-00506</t>
  </si>
  <si>
    <t>1798 IN RE: Long-Distance Telephone Service Federal Excise Tax Refund</t>
  </si>
  <si>
    <t>Royce C. Lamberth</t>
  </si>
  <si>
    <t>1:07-mc-00014</t>
  </si>
  <si>
    <t>1799 IN RE: Vonage Initial Public Offering (IPO) SEC</t>
  </si>
  <si>
    <t>Freda L. Wolfson</t>
  </si>
  <si>
    <t>3:07-cv-00177</t>
  </si>
  <si>
    <t>1803 IN RE: Banc of America Investment Services, Inc., Overtime Pay</t>
  </si>
  <si>
    <t>Alicemarie H. Stotler</t>
  </si>
  <si>
    <t>8:06-cv-00167, 8:07-ml-01803?</t>
  </si>
  <si>
    <t>1804 IN RE: Stand 'n Seal PL</t>
  </si>
  <si>
    <t>Thomas W. Thrash Jr.</t>
  </si>
  <si>
    <t>GAN</t>
  </si>
  <si>
    <t>1:07-md-01804</t>
  </si>
  <si>
    <t>1806 IN RE: Morgan Stanley &amp; Co., Inc., Overtime Pay (No. II)</t>
  </si>
  <si>
    <t>Roger T. Benitez</t>
  </si>
  <si>
    <t>3:04-cv-01858?</t>
  </si>
  <si>
    <t>1807 IN RE: Wachovia Securities, LLC, Wage and Hour</t>
  </si>
  <si>
    <t>David O. Carter</t>
  </si>
  <si>
    <t>8:07-ml-01807</t>
  </si>
  <si>
    <t>1809 IN RE: Terminix EP</t>
  </si>
  <si>
    <t>DN/complete/no marching orders</t>
  </si>
  <si>
    <t>Saundra Brown Armstrong</t>
  </si>
  <si>
    <t>4:06-cv-00024, 4:07-cv-00656?</t>
  </si>
  <si>
    <t>Confirmed no matching orders 6/8/26</t>
  </si>
  <si>
    <t>1810 IN RE: MERSCORP Inc., et al., Real Estate Settlement Procedures Act (RESPA)</t>
  </si>
  <si>
    <t>Janis Graham Jack</t>
  </si>
  <si>
    <t>TXS</t>
  </si>
  <si>
    <t>2:07-md-01810</t>
  </si>
  <si>
    <t>1811 IN RE: Genetically Modified Rice Litigation</t>
  </si>
  <si>
    <t>Catherine D. Perry</t>
  </si>
  <si>
    <t>4:06-md-01811</t>
  </si>
  <si>
    <t xml:space="preserve">Massive docket. Most CMOs not available as PDFs, but got the initial order appointing leadership. </t>
  </si>
  <si>
    <t>1816 IN RE: Katz Interactive Call Processing PAT</t>
  </si>
  <si>
    <t>Robert Gary Klausner</t>
  </si>
  <si>
    <t>2:07-ml-01816</t>
  </si>
  <si>
    <t>Large docket. Only grabbed CMOS.</t>
  </si>
  <si>
    <t>1817 IN RE: CertainTeed Corp. Roofing Shingle PL</t>
  </si>
  <si>
    <t>Robert F. Kelly</t>
  </si>
  <si>
    <t>2:07-md-01817</t>
  </si>
  <si>
    <t>1818 IN RE: CitiFinancial Services Incorporated Prescreened Offer</t>
  </si>
  <si>
    <t>DN/complete/no electronic documents available</t>
  </si>
  <si>
    <t>James F. Holderman</t>
  </si>
  <si>
    <t>1:07-cv-01018</t>
  </si>
  <si>
    <t>Confirmed no electronic records available on Lexis 6/8/26; BHS confirmed that there are no available records on Bloomberg on 6/8/2026</t>
  </si>
  <si>
    <t>1819 IN RE: Static Random Access Memory (SRAM) Antitrust Litigation</t>
  </si>
  <si>
    <t>Claudia Ann Wilken</t>
  </si>
  <si>
    <t>4:07-md-01819</t>
  </si>
  <si>
    <t>1820 IN RE: Webloyalty.com, Inc., Marketing &amp; SP</t>
  </si>
  <si>
    <t>Joseph Louis Tauro</t>
  </si>
  <si>
    <t>1:07-md-01820</t>
  </si>
  <si>
    <t>1822 IN RE: Bluetooth Headset PL</t>
  </si>
  <si>
    <t>Dale S. Fischer</t>
  </si>
  <si>
    <t>2:07-ml-01822</t>
  </si>
  <si>
    <t>1824 IN RE: Tri-State Water Rights</t>
  </si>
  <si>
    <t>3:07-md-00001</t>
  </si>
  <si>
    <t>1825 IN RE: Midland National Life Insurance Co. Annuity SP</t>
  </si>
  <si>
    <t>2:07-ml-01825</t>
  </si>
  <si>
    <t>1826 IN RE: Graphics Processing Units Antitrust Litigation</t>
  </si>
  <si>
    <t>3:07-md-01826</t>
  </si>
  <si>
    <t>1827 IN RE: TFT-LCD (Flat Panel) Antitrust Litigation</t>
  </si>
  <si>
    <t>Susan Yvonne Illston</t>
  </si>
  <si>
    <t>3:07-md-01827</t>
  </si>
  <si>
    <t>Huge docket. Starting with Part III, limited to orders that contain appoint, remove, modify, or pretrial</t>
  </si>
  <si>
    <t>1828 IN RE: Imagitas, Inc., Drivers' Privacy Protection Act</t>
  </si>
  <si>
    <t>Timothy J. Corrigan</t>
  </si>
  <si>
    <t>3:07-md-00002</t>
  </si>
  <si>
    <t>1829 IN RE: Vision Service Plan Tax</t>
  </si>
  <si>
    <t>James L. Graham</t>
  </si>
  <si>
    <t>OHS</t>
  </si>
  <si>
    <t>2:07-md-01829</t>
  </si>
  <si>
    <t>1831 IN RE: Orthopaedic Implant Device Antitrust Litigation</t>
  </si>
  <si>
    <t>John Daniel Tinder</t>
  </si>
  <si>
    <t>1:07-ml-9831</t>
  </si>
  <si>
    <t>1832 IN RE: Pilgrim's Pride Fair Labor Standards Act</t>
  </si>
  <si>
    <t>Harry F. Barnes</t>
  </si>
  <si>
    <t>ARW</t>
  </si>
  <si>
    <t>1:07-cv-01832</t>
  </si>
  <si>
    <t>1838 IN RE: The TJX Companies, Inc., Customer Data Security Breach</t>
  </si>
  <si>
    <t>1:07-cv-10162</t>
  </si>
  <si>
    <t>1840 IN RE: Motor Fuel Temperature SP</t>
  </si>
  <si>
    <t>2:07-md-01840</t>
  </si>
  <si>
    <t>1841 IN RE: Wells Fargo Loan Processor Overtime Pay</t>
  </si>
  <si>
    <t>3:07-md-01841</t>
  </si>
  <si>
    <t>1842 IN RE: Kugel Mesh Hernia Patch PL</t>
  </si>
  <si>
    <t>Mary M. Lisi</t>
  </si>
  <si>
    <t>RI</t>
  </si>
  <si>
    <t>1:07-md-01842</t>
  </si>
  <si>
    <t>1844 IN RE: Air Crash Near Peixoto de Azeveda, Brazil - 9/29/06</t>
  </si>
  <si>
    <t>1:07-md-01844</t>
  </si>
  <si>
    <t>1845 IN RE: ConAgra Peanut Butter PL</t>
  </si>
  <si>
    <t>1:07-md-01845</t>
  </si>
  <si>
    <t>1846 IN RE: Trade Partners, Inc., Investors</t>
  </si>
  <si>
    <t>Robert Holmes Bell</t>
  </si>
  <si>
    <t>MIW</t>
  </si>
  <si>
    <t>1:07-md-01846</t>
  </si>
  <si>
    <t>1848 IN RE: Rembrandt Technologies, LP, PAT</t>
  </si>
  <si>
    <t>1:07-md-01848</t>
  </si>
  <si>
    <t>1849 IN RE: C.H. Robinson Worldwide, Inc., Overtime Pay</t>
  </si>
  <si>
    <t>Joan N. Ericksen</t>
  </si>
  <si>
    <t>0:07-md-01849</t>
  </si>
  <si>
    <t>1850 IN RE: Pet Food PL</t>
  </si>
  <si>
    <t>Noel L. Hillman</t>
  </si>
  <si>
    <t>1:07-cv-02867</t>
  </si>
  <si>
    <t>1851 IN RE: Desloratadine PAT</t>
  </si>
  <si>
    <t>Mary Little Cooper</t>
  </si>
  <si>
    <t>3:07-cv-03930</t>
  </si>
  <si>
    <t>1853 IN RE: The TJX Companies, Inc., Fair and Accurate Credit Transactions Act (FACTA)</t>
  </si>
  <si>
    <t>2:07-md-01853</t>
  </si>
  <si>
    <t>1854 IN RE: Tyson Foods, Inc., Fair Labor Standards Act (FLSA)</t>
  </si>
  <si>
    <t>Clay D. Land</t>
  </si>
  <si>
    <t>GAM</t>
  </si>
  <si>
    <t>4:07-md-01854</t>
  </si>
  <si>
    <t>1857 IN RE: Schering Marketing &amp; SP (No. II)</t>
  </si>
  <si>
    <t>Stanley R Chesler</t>
  </si>
  <si>
    <t>2:06-cv-05774?</t>
  </si>
  <si>
    <t>1861 IN RE: Wellnx Marketing &amp; SP</t>
  </si>
  <si>
    <t>1:07-md-01861</t>
  </si>
  <si>
    <t>1862 IN RE: Vonage Marketing &amp; SP</t>
  </si>
  <si>
    <t>3:07-cv-03906</t>
  </si>
  <si>
    <t>1864 IN RE: Charlotte Russe, Inc., Fair and Accurate Credit Transactions Act (FACTA)</t>
  </si>
  <si>
    <t>2:07-ml-01864</t>
  </si>
  <si>
    <t>1865 IN RE: Household Goods Movers Antitrust Litigation</t>
  </si>
  <si>
    <t>2:07-cv-00764</t>
  </si>
  <si>
    <t>1866 IN RE: Brimonidine PAT</t>
  </si>
  <si>
    <t>1:07-md-01866</t>
  </si>
  <si>
    <t>1867 IN RE: OnStar CONT</t>
  </si>
  <si>
    <t>Contract</t>
  </si>
  <si>
    <t>Sean Francis Cox</t>
  </si>
  <si>
    <t>2:07-md-01867, 2:07-cv-11830</t>
  </si>
  <si>
    <t>1870 IN RE: Greenwood Credit Union Prescreening</t>
  </si>
  <si>
    <t>1:07-md-01870,  2:07-cv-01983</t>
  </si>
  <si>
    <t>1872 IN RE: Wayne Farms LLC Fair Labor Standards Act</t>
  </si>
  <si>
    <t>Keith Starrett</t>
  </si>
  <si>
    <t>MSS</t>
  </si>
  <si>
    <t>2:07-md-01872</t>
  </si>
  <si>
    <t>1873 IN RE: FEMA Trailer Formaldehyde PL</t>
  </si>
  <si>
    <t>Kurt Damian Engelhardt</t>
  </si>
  <si>
    <t>2:07-md-01873</t>
  </si>
  <si>
    <t>Massive MDL. Only retrieved pre-trial orders.</t>
  </si>
  <si>
    <t>1875 IN RE: RadioShack Corp. ERISA</t>
  </si>
  <si>
    <t>Terry R. Means</t>
  </si>
  <si>
    <t>TXN</t>
  </si>
  <si>
    <t>4:08-md-01875</t>
  </si>
  <si>
    <t>1876 IN RE: Long Beach Mortgage Company Truth in Lending Act 1-4 Family Rider</t>
  </si>
  <si>
    <t>Wayne R. Andersen</t>
  </si>
  <si>
    <t>1:07-cv-06543</t>
  </si>
  <si>
    <t>1877 IN RE: ClassicStar Mare Lease</t>
  </si>
  <si>
    <t>Joseph Martin Hood</t>
  </si>
  <si>
    <t>KYE</t>
  </si>
  <si>
    <t>5:07-cv-00353</t>
  </si>
  <si>
    <t>1878 IN RE: Southwest Exchange, Inc., Internal Revenue Service § 1031 Tax Deferred Exchange</t>
  </si>
  <si>
    <t>Robert Clive Jones</t>
  </si>
  <si>
    <t>2:07-cv-01394</t>
  </si>
  <si>
    <t>1879 IN RE: Sterling Financial Corp. SEC</t>
  </si>
  <si>
    <t>Lawrence F. Stengel</t>
  </si>
  <si>
    <t>2:07-md-01879</t>
  </si>
  <si>
    <t>1881 IN RE: Boscov's Department Store, LLC, Fair and Accurate Credit Transactions Act (FACTA)</t>
  </si>
  <si>
    <t>Joseph E. Irenas</t>
  </si>
  <si>
    <t>1:07-cv-05093</t>
  </si>
  <si>
    <t>1886 IN RE: Refined Petroleum Products Antitrust Litigation</t>
  </si>
  <si>
    <t>Simeon Timothy Lake III</t>
  </si>
  <si>
    <t>4:07-md-01886</t>
  </si>
  <si>
    <t>1888 IN RE: Marine Hose Antitrust Litigation (No. II)</t>
  </si>
  <si>
    <t>Donald L. Graham</t>
  </si>
  <si>
    <t>FLS</t>
  </si>
  <si>
    <t>1:08-md-01888</t>
  </si>
  <si>
    <t>1889 IN RE: Peregrine Systems, Inc., SEC</t>
  </si>
  <si>
    <t>3:02-cv-00870</t>
  </si>
  <si>
    <t>1891 IN RE: Korean Air Lines Co., Ltd., Antitrust Litigation</t>
  </si>
  <si>
    <t>S. James Otero</t>
  </si>
  <si>
    <t>2:07-cv-05107</t>
  </si>
  <si>
    <t>1892 IN RE: KFC Corp. Fair Labor Standards Act</t>
  </si>
  <si>
    <t>David S. Doty</t>
  </si>
  <si>
    <t>0:08-md-01892</t>
  </si>
  <si>
    <t>1893 IN RE: RC2 Corp. Toy Lead Paint PL</t>
  </si>
  <si>
    <t>Harry D. Leinenweber</t>
  </si>
  <si>
    <t>1:07-cv-07184</t>
  </si>
  <si>
    <t>1894 IN RE: U.S. Foodservice, Inc., Pricing</t>
  </si>
  <si>
    <t>Alvin W. Thompson</t>
  </si>
  <si>
    <t>CT</t>
  </si>
  <si>
    <t>3:07-md-01894</t>
  </si>
  <si>
    <t>1895 IN RE: LTL Shipping Services Antitrust Litigation</t>
  </si>
  <si>
    <t>William S. Duffey, Jr.</t>
  </si>
  <si>
    <t>1:08-md-01895</t>
  </si>
  <si>
    <t>1896 IN RE: General Motors Corp. Speedometer PL</t>
  </si>
  <si>
    <t>John C. Coughenour</t>
  </si>
  <si>
    <t>WAW</t>
  </si>
  <si>
    <t>2:07-cv-00291</t>
  </si>
  <si>
    <t>1897 IN RE: Mattel, Inc., Toy Lead Paint PL</t>
  </si>
  <si>
    <t>2:07-ml-01897</t>
  </si>
  <si>
    <t>1898 IN RE: American Home Mortgage SEC</t>
  </si>
  <si>
    <t>Thomas Collier Platt Jr.</t>
  </si>
  <si>
    <t>2:07-md-01898</t>
  </si>
  <si>
    <t>1899 IN RE: Southeastern Milk Antitrust Litigation</t>
  </si>
  <si>
    <t>J. Ronnie Greer</t>
  </si>
  <si>
    <t>TNE</t>
  </si>
  <si>
    <t>2:08-md-01000</t>
  </si>
  <si>
    <t>1902 IN RE: Refco Inc. SEC</t>
  </si>
  <si>
    <t>1:07-md-01902</t>
  </si>
  <si>
    <t>1903 IN RE: PepsiCo, Inc., Bottled Water Marketing &amp; SP</t>
  </si>
  <si>
    <t>Cathy Seibel</t>
  </si>
  <si>
    <t>7:08-md-01903</t>
  </si>
  <si>
    <t>1904 IN RE: OSI Restaurant Partners, LLC, Fair and Accurate Credit Transactions Act (FACTA)</t>
  </si>
  <si>
    <t xml:space="preserve">Thomas N. O'Neill Jr. </t>
  </si>
  <si>
    <t>2:08-md-01904</t>
  </si>
  <si>
    <t>1905 IN RE: Medtronic, Inc., Sprint Fidelis Leads PL</t>
  </si>
  <si>
    <t>Richard House Kyle</t>
  </si>
  <si>
    <t>0:08-md-01905</t>
  </si>
  <si>
    <t>1907 IN RE: Aurora Dairy Corp. Organic Milk Marketing &amp; SP</t>
  </si>
  <si>
    <t>E. Richard Webber</t>
  </si>
  <si>
    <t>4:08-md-01907</t>
  </si>
  <si>
    <t>1909 IN RE: Gadolinium Contrast Dyes PL</t>
  </si>
  <si>
    <t>Dan A. Polster</t>
  </si>
  <si>
    <t>1:08-gd-50000</t>
  </si>
  <si>
    <t>1910 IN RE: Phoenix Licensing, L.L.C., PAT</t>
  </si>
  <si>
    <t>Mary Helen Murguia</t>
  </si>
  <si>
    <t>AZ</t>
  </si>
  <si>
    <t>2:08-md-01910</t>
  </si>
  <si>
    <t>1911 IN RE: Michelin North America, Inc., PAX Systems Marketing &amp; SP</t>
  </si>
  <si>
    <t>Roger W. Titus</t>
  </si>
  <si>
    <t>MD</t>
  </si>
  <si>
    <t>8:08-md-01911</t>
  </si>
  <si>
    <t>1912 IN RE: Fasteners Antitrust Litigation</t>
  </si>
  <si>
    <t>Richard Barclay Surrick</t>
  </si>
  <si>
    <t>2:08-md-01912</t>
  </si>
  <si>
    <t>1914 IN RE: Mercedes-Benz Tele Aid CONT</t>
  </si>
  <si>
    <t>Dickinson Richards Debevoise</t>
  </si>
  <si>
    <t>2:07-cv-02720</t>
  </si>
  <si>
    <t>1919 IN RE: Washington Mutual, Inc., SEC, DER &amp; ERISA</t>
  </si>
  <si>
    <t>Marsha J. Pechman</t>
  </si>
  <si>
    <t>2:08-md-01919</t>
  </si>
  <si>
    <t>1920 IN RE: Saturn L-Series Timing Chain PL</t>
  </si>
  <si>
    <t>Laurie Smith Camp</t>
  </si>
  <si>
    <t>NE</t>
  </si>
  <si>
    <t>8:07-cv-00298</t>
  </si>
  <si>
    <t>1921 IN RE: Nissan North America, Inc., Odometer (No. II)</t>
  </si>
  <si>
    <t>Aleta Arthur Trauger</t>
  </si>
  <si>
    <t>3:08-md-01921</t>
  </si>
  <si>
    <t>1925 IN RE: Medan, Indonesia - 9/5/05 AD</t>
  </si>
  <si>
    <t>John F. Grady</t>
  </si>
  <si>
    <t>1:08-cv-02357, 1:07-cv-00250</t>
  </si>
  <si>
    <t>1926 IN RE: Halftone Color Separations ('809) PAT</t>
  </si>
  <si>
    <t>DN/COMPLETE/co-work</t>
  </si>
  <si>
    <t>Cormac J. Carney</t>
  </si>
  <si>
    <t>8:08-ml-01926</t>
  </si>
  <si>
    <t>1927 IN RE: Texas Roadhouse Fair and Accurate Credit Transactions Act (FACTA)</t>
  </si>
  <si>
    <t>Charles Ronald Norgle Sr.</t>
  </si>
  <si>
    <t>1:08-cv-02361</t>
  </si>
  <si>
    <t>1928 IN RE: Trasylol PL</t>
  </si>
  <si>
    <t>Donald M. Middlebrooks</t>
  </si>
  <si>
    <t>1:08-md-01928</t>
  </si>
  <si>
    <t>1930 IN RE: Wells Fargo Mortgage Lending Practices</t>
  </si>
  <si>
    <t>Maxine M. Chesney</t>
  </si>
  <si>
    <t>3:08-md-01930</t>
  </si>
  <si>
    <t>1931 IN RE: Virgin Mobile Initial Public Offering (IPO) SEC</t>
  </si>
  <si>
    <t>Susan Davis Wigenton</t>
  </si>
  <si>
    <t>2:07-cv-05619</t>
  </si>
  <si>
    <t>1932 IN RE: Family Dollar Stores, Inc., Wage and Hour EP</t>
  </si>
  <si>
    <t>Graham Calder Mullen</t>
  </si>
  <si>
    <t>NCW</t>
  </si>
  <si>
    <t>3:08-md-01932</t>
  </si>
  <si>
    <t>1933 IN RE: Merrill Lynch &amp; Co., Inc., SEC, DER &amp; ERISA</t>
  </si>
  <si>
    <t>1:07-cv-09633</t>
  </si>
  <si>
    <t>1934 IN RE: Epogen and Aranesp Off-Label Marketing &amp; SP</t>
  </si>
  <si>
    <t>Philip S. Gutierrez</t>
  </si>
  <si>
    <t>2:08-ml-01934</t>
  </si>
  <si>
    <t>1935 IN RE: Chocolate Confectionary Antitrust Litigation</t>
  </si>
  <si>
    <t>Christopher C. Conner</t>
  </si>
  <si>
    <t>PAM</t>
  </si>
  <si>
    <t>1:08-mdl-01935</t>
  </si>
  <si>
    <t>1936 IN RE: Train Derailment near Tyrone, OK - 4/21/05</t>
  </si>
  <si>
    <t>Common Disaster</t>
  </si>
  <si>
    <t>Barbara S. Jones</t>
  </si>
  <si>
    <t>1:08-md-01936</t>
  </si>
  <si>
    <t>1937 IN RE: United States Postal Service Privacy Act</t>
  </si>
  <si>
    <t>James L. Robart</t>
  </si>
  <si>
    <t>2:08-md-01937</t>
  </si>
  <si>
    <t>1938 IN RE: Vytorin/Zetia Marketing, SP and PL</t>
  </si>
  <si>
    <t>Dennis M. Cavanaugh</t>
  </si>
  <si>
    <t>2:08-cv-00285</t>
  </si>
  <si>
    <t>1939 IN RE: Oilily Fair and Accurate Credit Transactions Act (FACTA)</t>
  </si>
  <si>
    <t>3:08-md-01939</t>
  </si>
  <si>
    <t>1940 IN RE: Aqua Dots PL</t>
  </si>
  <si>
    <t>1:08-cv-02364</t>
  </si>
  <si>
    <t>1941 IN RE: Alfuzosin Hydrochloride PAT</t>
  </si>
  <si>
    <t>1:08-md-01941</t>
  </si>
  <si>
    <t>1942 IN RE: Flat Glass Antitrust Litigation (No. II)</t>
  </si>
  <si>
    <t>Donetta W. Ambrose</t>
  </si>
  <si>
    <t>2:08-mc-00180</t>
  </si>
  <si>
    <t>1943 IN RE: Levaquin PL</t>
  </si>
  <si>
    <t>John R. Tunheim</t>
  </si>
  <si>
    <t>0:08-md-01943</t>
  </si>
  <si>
    <t>1945 IN RE: State Street Bank and Trust Co. Fixed Income Funds Investment</t>
  </si>
  <si>
    <t>1:08-md-01945</t>
  </si>
  <si>
    <t>1946 IN RE: BP Products North America, Inc., Antitrust Litigation (No. II)</t>
  </si>
  <si>
    <t>James B. Zagel</t>
  </si>
  <si>
    <t>1:08-cv-03361,  1:06-cv-03541, 1:06-cv-03621?</t>
  </si>
  <si>
    <t>1947 IN RE: Make-up Art Cosmetics (M.A.C.) Fair and Accurate Credit Transactions Act (FACTA)</t>
  </si>
  <si>
    <t>Dean D. Pregerson</t>
  </si>
  <si>
    <t>2:08-ml-01947</t>
  </si>
  <si>
    <t>1948 IN RE: Vtran Media Technologies, LLC, PAT</t>
  </si>
  <si>
    <t>Michael M. Baylson</t>
  </si>
  <si>
    <t>2:08-md-01948</t>
  </si>
  <si>
    <t>1949 IN RE: Rosuvastatin Calcium PAT</t>
  </si>
  <si>
    <t>Joseph James Farnan Jr.</t>
  </si>
  <si>
    <t>1:08-md-01949</t>
  </si>
  <si>
    <t>1950 IN RE: Municipal Derivatives Antitrust Litigation</t>
  </si>
  <si>
    <t>Victor Marrero</t>
  </si>
  <si>
    <t>1:08-md-01950, 1:08-cv-02516</t>
  </si>
  <si>
    <t>1952 IN RE: Packaged Ice Antitrust Litigation</t>
  </si>
  <si>
    <t>Paul D. Borman</t>
  </si>
  <si>
    <t>2:08-md-01952</t>
  </si>
  <si>
    <t>1953 IN RE: Heparin PL</t>
  </si>
  <si>
    <t>James G. Carr</t>
  </si>
  <si>
    <t>1:08-hc-60000</t>
  </si>
  <si>
    <t>1954 IN RE: Hannaford Bros. Co. Customer Data Security Breach</t>
  </si>
  <si>
    <t>David Brock Hornby</t>
  </si>
  <si>
    <t>ME</t>
  </si>
  <si>
    <t>2:08-md-01954</t>
  </si>
  <si>
    <t>1955 IN RE: Orleans Homebuilders, Inc., Fair Labor Standards Act (FLSA)</t>
  </si>
  <si>
    <t>Jan Ely DuBois</t>
  </si>
  <si>
    <t>2:08-md-01955</t>
  </si>
  <si>
    <t>1956 IN RE: Toshiba America HD DVD Marketing &amp; SP</t>
  </si>
  <si>
    <t>2:08-cv-00939</t>
  </si>
  <si>
    <t>1957 IN RE: Aftermarket Automotive Filters Antitrust Litigation</t>
  </si>
  <si>
    <t>Robert William Gettleman</t>
  </si>
  <si>
    <t>1:08-cv-04883</t>
  </si>
  <si>
    <t>1958 IN RE: Zurn Pex Plumbing PL</t>
  </si>
  <si>
    <t>Ann D. Montgomery</t>
  </si>
  <si>
    <t>0:08-md-01958</t>
  </si>
  <si>
    <t>1959 IN RE: Panacryl Sutures PL</t>
  </si>
  <si>
    <t>Terrence William Boyle</t>
  </si>
  <si>
    <t>NCE</t>
  </si>
  <si>
    <t>5:08-md-01959</t>
  </si>
  <si>
    <t>1960 IN RE: Puerto Rican Cabotage Antitrust Litigation</t>
  </si>
  <si>
    <t>Daniel R. Dominguez</t>
  </si>
  <si>
    <t>PR</t>
  </si>
  <si>
    <t>3:08-md-01960</t>
  </si>
  <si>
    <t>1961 IN RE: Municipal Mortgage &amp; Equity, LLC, SEC &amp; DER</t>
  </si>
  <si>
    <t>Marvin J. Garbis</t>
  </si>
  <si>
    <t>1:08-md-01961</t>
  </si>
  <si>
    <t>1963 IN RE: The Bear Stearns Companies, Inc., SEC, DER &amp; ERISA</t>
  </si>
  <si>
    <t>Robert Workman Sweet</t>
  </si>
  <si>
    <t>1:08-md-01963</t>
  </si>
  <si>
    <t>1967 IN RE: Bisphenol-A (BPA) Polycarbonate Plastic PL</t>
  </si>
  <si>
    <t>Ortrie D. Smith</t>
  </si>
  <si>
    <t>4:08-md-01967</t>
  </si>
  <si>
    <t>1968 IN RE: Digitek PL</t>
  </si>
  <si>
    <t>Joseph Robert Goodwin</t>
  </si>
  <si>
    <t>WVS</t>
  </si>
  <si>
    <t xml:space="preserve">2:08-md-01968 </t>
  </si>
  <si>
    <t>1972 IN RE: Hawaiian and Guamanian Cabotage Antitrust Litigation</t>
  </si>
  <si>
    <t>Thomas S. Zilly</t>
  </si>
  <si>
    <t>2:08-md-01972</t>
  </si>
  <si>
    <t>1974 IN RE: Countrywide Financial Corp. Mortgage Lending Practices</t>
  </si>
  <si>
    <t>John Gilpin Heyburn II</t>
  </si>
  <si>
    <t>KYW</t>
  </si>
  <si>
    <t>3:08-md-01974</t>
  </si>
  <si>
    <t>1976 IN RE: Lending Tree, LLC, Consumer Data Security Breach</t>
  </si>
  <si>
    <t>Frank DeArmon Whitney</t>
  </si>
  <si>
    <t>3:08-md-01976</t>
  </si>
  <si>
    <t>1977 IN RE: LifeLock, Inc., Marketing &amp; SP</t>
  </si>
  <si>
    <t>2:08-md-01977</t>
  </si>
  <si>
    <t>1978 IN RE: Velocity Express, Inc., Wage and Hour EP</t>
  </si>
  <si>
    <t>William C. Griesbach</t>
  </si>
  <si>
    <t>WIE</t>
  </si>
  <si>
    <t>1:08-md-01978</t>
  </si>
  <si>
    <t>1980 IN RE: Toys"R"Us - Delaware, Inc., Fair and Accurate Credit Transactions Act (FACTA)</t>
  </si>
  <si>
    <t>Margaret M. Morrow</t>
  </si>
  <si>
    <t>2:08-ml-01980</t>
  </si>
  <si>
    <t>1981 IN RE: Aon Corp. Wage and Hour EP</t>
  </si>
  <si>
    <t>Charles Petros Kocoras</t>
  </si>
  <si>
    <t>1:08-cv-05802</t>
  </si>
  <si>
    <t>1982 IN RE: Tyson Foods, Inc., Chicken Raised Without Antibiotics Consumer</t>
  </si>
  <si>
    <t>Richard D. Bennett</t>
  </si>
  <si>
    <t>1:08-md-01982</t>
  </si>
  <si>
    <t>1983 IN RE: Indianapolis Life Insurance Company I.R.S. § 412 (i) and § 419 Plans Life Insurance Marketing</t>
  </si>
  <si>
    <t>Jane J. Boyle</t>
  </si>
  <si>
    <t>3:08-md-01983</t>
  </si>
  <si>
    <t>1984 IN RE: DirecTech Southwest, Inc., Fair Labor Standards Act (FLSA)</t>
  </si>
  <si>
    <t>Martin Leach-Cross Feldman</t>
  </si>
  <si>
    <t>2:08-md-01984</t>
  </si>
  <si>
    <t>1985 IN RE: Total Body Formula PL</t>
  </si>
  <si>
    <t>R. David Proctor</t>
  </si>
  <si>
    <t>ALN</t>
  </si>
  <si>
    <t>2:08-cv-01946</t>
  </si>
  <si>
    <t>1987 IN RE: Webkinz Antitrust Litigation</t>
  </si>
  <si>
    <t>Richard G. Seeborg</t>
  </si>
  <si>
    <t xml:space="preserve"> 3:08-md-01987</t>
  </si>
  <si>
    <t>1988 IN RE: Countrywide Financial Corp. Mortgage Marketing &amp; SP</t>
  </si>
  <si>
    <t>Dana Makoto Sabraw</t>
  </si>
  <si>
    <t>3:08-md-01988</t>
  </si>
  <si>
    <t>1989 IN RE: SemGroup Energy Partners, L.P., SEC</t>
  </si>
  <si>
    <t>Gregory Kent Frizzell</t>
  </si>
  <si>
    <t>OKN</t>
  </si>
  <si>
    <t>4:08-md-01989</t>
  </si>
  <si>
    <t>1990 IN RE: NorthStar Education Finance, Inc., CONT</t>
  </si>
  <si>
    <t>0:08-md-01990</t>
  </si>
  <si>
    <t>1992 IN RE: Comcast Corp. Peer-to-Peer (P2P) Transmission CONT</t>
  </si>
  <si>
    <t>2:08-md-01992</t>
  </si>
  <si>
    <t>1993 IN RE: Polar Bear Endangered Species Act and § 4(d) Rule</t>
  </si>
  <si>
    <t>Emmet G. Sullivan</t>
  </si>
  <si>
    <t>1:08-mc-00764</t>
  </si>
  <si>
    <t>1994 IN RE: VistaPrint Corp. Marketing &amp; SP</t>
  </si>
  <si>
    <t>Nancy Friedman Atlas</t>
  </si>
  <si>
    <t>4:08-md-01994</t>
  </si>
  <si>
    <t>1995 IN RE: Time Warner Inc. Set-Top Cable Television Box Antitrust Litigation</t>
  </si>
  <si>
    <t>P. Kevin Castel</t>
  </si>
  <si>
    <t>1:08-md-01995</t>
  </si>
  <si>
    <t>1996 IN RE: Potash Antitrust Litigation (No. II)</t>
  </si>
  <si>
    <t>Ruben Castillo</t>
  </si>
  <si>
    <t>1:08-cv-06910, 1:08-cv-05253</t>
  </si>
  <si>
    <t>1997 IN RE: Text Messaging Antitrust Litigation</t>
  </si>
  <si>
    <t>Matthew F. Kennelly</t>
  </si>
  <si>
    <t>1:08-cv-07082</t>
  </si>
  <si>
    <t>1998 IN RE: Countrywide Financial Corp. Customer Data Security Breach</t>
  </si>
  <si>
    <t>Thomas B. Russell</t>
  </si>
  <si>
    <t>3:08-md-01998</t>
  </si>
  <si>
    <t>1999 IN RE: Lawnmower Engine Horsepower Marketing &amp; SP (No. II)</t>
  </si>
  <si>
    <t>Lynn S. Adelman</t>
  </si>
  <si>
    <t>2:08-md-01999</t>
  </si>
  <si>
    <t>2001 IN RE: Whirlpool Corp. Front-Loading Washer PL</t>
  </si>
  <si>
    <t>Christopher A. Boyko</t>
  </si>
  <si>
    <t>1:08-wp-65000</t>
  </si>
  <si>
    <t>2003 IN RE: National City Corp. SEC, DER &amp; ERISA</t>
  </si>
  <si>
    <t>Solomon Oliver Jr.</t>
  </si>
  <si>
    <t>1:08-nc-70000, 1:08-nc-70015</t>
  </si>
  <si>
    <t>2004 IN RE: Mentor Corp. ObTape Transobturator Sling Products Liability Litigation</t>
  </si>
  <si>
    <t>4:08-md-02004</t>
  </si>
  <si>
    <t>2005 IN RE: Air Crash at Tegucigalpa, Honduras, on May 30, 2008</t>
  </si>
  <si>
    <t>Alan S. Gold</t>
  </si>
  <si>
    <t>1:09-md-02005</t>
  </si>
  <si>
    <t>2006 IN RE: Chrysler LLC 2.7 Liter V-6 Engine Oil Sludge PL</t>
  </si>
  <si>
    <t>Faith S. Hochberg</t>
  </si>
  <si>
    <t>2:07-cv-01740</t>
  </si>
  <si>
    <t>2007 IN RE: Aftermarket Automotive Lighting Products Antitrust Litigation</t>
  </si>
  <si>
    <t>George H. Wu</t>
  </si>
  <si>
    <t>2:09-ml-02007</t>
  </si>
  <si>
    <t>2008 IN RE: Land Rover LR3 Tire Wear PL</t>
  </si>
  <si>
    <t>Andrew J. Guilford</t>
  </si>
  <si>
    <t>8:09-ml-02008</t>
  </si>
  <si>
    <t>2011 IN RE: The Reserve Fund SEC &amp; DER</t>
  </si>
  <si>
    <t>Paul G. Gardephe</t>
  </si>
  <si>
    <t>1:09-md-02011</t>
  </si>
  <si>
    <t>2013 IN RE: Fannie Mae SEC &amp; ERISA</t>
  </si>
  <si>
    <t>1:09-md-02013, 1:08-cv-07831</t>
  </si>
  <si>
    <t>2014 IN RE: Bank of America Corp. Auction Rate Securities (ARS) Marketing</t>
  </si>
  <si>
    <t>Jeffrey Steven White</t>
  </si>
  <si>
    <t>4:09-md-02014</t>
  </si>
  <si>
    <t>2015 IN RE: Wachovia Corp. "Pick-A-Payment" Mortgage Marketing &amp; SP</t>
  </si>
  <si>
    <t>3:09-md-02015</t>
  </si>
  <si>
    <t>2016 IN RE: Yamaha Motor Corp. Rhino ATV PL</t>
  </si>
  <si>
    <t>Jennifer B. Coffman</t>
  </si>
  <si>
    <t>3:09-md-02016</t>
  </si>
  <si>
    <t>2017 IN RE: Lehman Brothers Holdings, Inc., SEC &amp; ERISA</t>
  </si>
  <si>
    <t>Lewis A. Kaplan</t>
  </si>
  <si>
    <t>1:09-md-02017</t>
  </si>
  <si>
    <t>2021 IN RE: Le-Nature's, Inc., Commercial</t>
  </si>
  <si>
    <t>2:08-cv-01518</t>
  </si>
  <si>
    <t>Confirmed no orders on Lexis 6/8; BHS manually downloaded available orders via Bloomberg 6/8/26</t>
  </si>
  <si>
    <t>2022 IN RE: Payless ShoeSource, Inc., California Song-Beverly Credit Card Act</t>
  </si>
  <si>
    <t>Dale Alan Drozd</t>
  </si>
  <si>
    <t>CAE</t>
  </si>
  <si>
    <t>2:09-cv-02022, 2:09-cv-01040</t>
  </si>
  <si>
    <t>2023 IN RE: Bayer Corp. Combination Aspirin Products Marketing &amp; SP</t>
  </si>
  <si>
    <t>1:09-md-02023</t>
  </si>
  <si>
    <t>2025 IN RE: Staples, Inc., Wage and Hour EP</t>
  </si>
  <si>
    <t>Katharine Sweeney Hayden</t>
  </si>
  <si>
    <t>2:08-cv-05746</t>
  </si>
  <si>
    <t>2027 IN RE: Satyam Computer Services, Ltd., SEC</t>
  </si>
  <si>
    <t>James Paul Oetken</t>
  </si>
  <si>
    <t>1:09-md-02027</t>
  </si>
  <si>
    <t>2028 IN RE: Edward H. Okun Internal Revenue Service § 1031 Tax Deferred Exchange</t>
  </si>
  <si>
    <t>3:09-md-02028,  3:09-cv-02079</t>
  </si>
  <si>
    <t>2029 IN RE: Online DVD Rental Antitrust Litigation</t>
  </si>
  <si>
    <t>Phyllis J. Hamilton</t>
  </si>
  <si>
    <t>4:09-md-02029</t>
  </si>
  <si>
    <t>2030 IN RE: Merrill Lynch &amp; Co., Inc., Auction Rate Securities (ARS) Marketing</t>
  </si>
  <si>
    <t>1:09-md-02030</t>
  </si>
  <si>
    <t>2031 IN RE: Dairy Farmers of America, Inc., Cheese Antitrust Litigation</t>
  </si>
  <si>
    <t>Robert Michael Dow Jr.</t>
  </si>
  <si>
    <t>1:09-cv-03690</t>
  </si>
  <si>
    <t>2032 IN RE: Chase Bank USA, N.A., "Check Loan" CONT</t>
  </si>
  <si>
    <t>3:09-md-02032</t>
  </si>
  <si>
    <t>2035 IN RE: RBS WorldPay, Inc., Customer Data Security Breach</t>
  </si>
  <si>
    <t>Charles A. Pannell Jr.</t>
  </si>
  <si>
    <t>1:09-md-02035</t>
  </si>
  <si>
    <t>2037 IN RE: Air Crash Over Makassar Strait, Sulawesi, Indonesia - 1/1/97</t>
  </si>
  <si>
    <t>1:09-cv-03805</t>
  </si>
  <si>
    <t>2039 IN RE: Sepracor Inc. Fair Labor Standards Act (FLSA)</t>
  </si>
  <si>
    <t>David G. Campbell</t>
  </si>
  <si>
    <t>2:09-md-02039</t>
  </si>
  <si>
    <t>2040 IN RE: ConocoPhillips Co. Service Station Rent CONT</t>
  </si>
  <si>
    <t>5:09-md-02040</t>
  </si>
  <si>
    <t>2042 IN RE: Refrigerant Compressors Antitrust Litigation</t>
  </si>
  <si>
    <t>2:09-md-02042</t>
  </si>
  <si>
    <t>2043 IN RE: Citigroup, Inc., Auction Rate Securities (ARS) Marketing (No. II)</t>
  </si>
  <si>
    <t>1:09-md-02043</t>
  </si>
  <si>
    <t>2044 IN RE: Vertrue Inc. Marketing and SP</t>
  </si>
  <si>
    <t>GFB/manual/complete</t>
  </si>
  <si>
    <t>Patricia Anne Gaughan</t>
  </si>
  <si>
    <t>1:09-vm-75000</t>
  </si>
  <si>
    <t>2045 IN RE: Apple iPhone 3G PL</t>
  </si>
  <si>
    <t>5:09-md-02045</t>
  </si>
  <si>
    <t>2046 IN RE: Heartland Payment Systems, Inc., Customer Data Security Breach</t>
  </si>
  <si>
    <t>Lee Hyman Rosenthal</t>
  </si>
  <si>
    <t>4:09-md-02046</t>
  </si>
  <si>
    <t>2048 IN RE: Cox Enterprises, Inc., Set-Top Cable Television Box Antitrust Litigation</t>
  </si>
  <si>
    <t>Robin J. Cauthron</t>
  </si>
  <si>
    <t>OKW</t>
  </si>
  <si>
    <t>5:12-ml-02048</t>
  </si>
  <si>
    <t>2050 IN RE: Bill of Lading Transmission and Processing System Patent</t>
  </si>
  <si>
    <t>Sandra Shank Beckwith</t>
  </si>
  <si>
    <t>1:09-md-02050</t>
  </si>
  <si>
    <t>2051 IN RE: Denture Cream PL</t>
  </si>
  <si>
    <t>Cecilia M. Altonaga</t>
  </si>
  <si>
    <t>1:09-md-02051</t>
  </si>
  <si>
    <t>2052 IN RE: Tremont Group Holdings, Inc., SEC</t>
  </si>
  <si>
    <t>Thomas Poole Griesa</t>
  </si>
  <si>
    <t>1:09-md-02052,  1:08-cv-11117</t>
  </si>
  <si>
    <t>2053 IN RE: Helicopter Crash Near Weaverville, CA - 8/5/08</t>
  </si>
  <si>
    <t>Michael W. Mosman</t>
  </si>
  <si>
    <t>OR</t>
  </si>
  <si>
    <t>3:09-md-02053</t>
  </si>
  <si>
    <t>2054 IN RE: LandAmerica 1031 Exchange Services, Inc., Internal Revenue Service § 1031 Tax Deferred Exchange</t>
  </si>
  <si>
    <t>Joseph Fletcher Anderson Jr.</t>
  </si>
  <si>
    <t>8:09-mn-02054</t>
  </si>
  <si>
    <t>2055 IN RE: Zimmer Holdings, Inc., SEC, DER &amp; ERISA</t>
  </si>
  <si>
    <t>Sarah Evans Barker</t>
  </si>
  <si>
    <t>1:09-ml-06000</t>
  </si>
  <si>
    <t>2056 IN RE: Enterprise Rent-A-Car Wage and Hour EP</t>
  </si>
  <si>
    <t>Joy Flowers Conti</t>
  </si>
  <si>
    <t>2:09-mc-00210</t>
  </si>
  <si>
    <t>2057 IN RE: Kaplan Higher Education Corp. Qui Tam</t>
  </si>
  <si>
    <t>Patricia A. Seitz</t>
  </si>
  <si>
    <t>1:09-md-02057</t>
  </si>
  <si>
    <t>2058 IN RE: Bank of America Corp. SEC, DER &amp; ERISA</t>
  </si>
  <si>
    <t>1:09-md-02058</t>
  </si>
  <si>
    <t>2059 IN RE: Activated Carbon-Based Hunting Clothing Marketing &amp; SP</t>
  </si>
  <si>
    <t>0:09-md-02059</t>
  </si>
  <si>
    <t>2063 IN RE: Oppenheimer Rochester Funds Group SEC</t>
  </si>
  <si>
    <t>John L. Kane Jr.</t>
  </si>
  <si>
    <t>1:09-md-02063</t>
  </si>
  <si>
    <t>2066 IN RE: Oral Sodium Phosphate Solution-Based PL</t>
  </si>
  <si>
    <t>1:09-sp-80000</t>
  </si>
  <si>
    <t>2068 IN RE: Light Cigarettes Marketing &amp; SP</t>
  </si>
  <si>
    <t>John A. Woodcock Jr.</t>
  </si>
  <si>
    <t>1:09-md-02068</t>
  </si>
  <si>
    <t>2070 IN RE: Citigroup, Inc., SEC</t>
  </si>
  <si>
    <t>1:09-md-02070, 1:08-cv-09522</t>
  </si>
  <si>
    <t>2072 IN RE: Federal Home Loan Mortgage Corp. (Freddie Mac) SEC</t>
  </si>
  <si>
    <t>Miriam Goldman Cedarbaum</t>
  </si>
  <si>
    <t>1:09-md-02072</t>
  </si>
  <si>
    <t>2073 IN RE: Optimal Strategic U.S. Equity Fund SEC</t>
  </si>
  <si>
    <t>Paul C. Huck</t>
  </si>
  <si>
    <t>1:09-md-02073</t>
  </si>
  <si>
    <t>2074 IN RE: WellPoint, Inc., Out-of-Network "UCR" Rates</t>
  </si>
  <si>
    <t>2:09-ml-02074</t>
  </si>
  <si>
    <t>2075 IN RE: Austin Capital Management, Ltd., SEC &amp; ERISA</t>
  </si>
  <si>
    <t>1:09-md-02075</t>
  </si>
  <si>
    <t>2076 IN RE: Park West Galleries, Inc., Marketing &amp; SP</t>
  </si>
  <si>
    <t>Robert S. Lasnik</t>
  </si>
  <si>
    <t>2:09-md-02076</t>
  </si>
  <si>
    <t>2081 IN RE: Blood Reagents Antitrust Litigation</t>
  </si>
  <si>
    <t>Joshua David Wolson</t>
  </si>
  <si>
    <t>2:09-md-02081</t>
  </si>
  <si>
    <t>2082 IN RE: Meridian Funds Group SEC &amp; ERISA</t>
  </si>
  <si>
    <t>1:09-md-02082</t>
  </si>
  <si>
    <t>2083 IN RE: KBR, Inc., Burn Pit</t>
  </si>
  <si>
    <t>8:09-md-02083</t>
  </si>
  <si>
    <t>2085 IN RE: Air Crash Near Clarence Center, NY - 2/12/09</t>
  </si>
  <si>
    <t>William M. Skretny</t>
  </si>
  <si>
    <t>NYW</t>
  </si>
  <si>
    <t>1:09-md-02085</t>
  </si>
  <si>
    <t>2086 IN RE: Pre-Filled Propane Tank Marketing &amp; SP</t>
  </si>
  <si>
    <t>Gary A. Fenner</t>
  </si>
  <si>
    <t>4:09-md-02086</t>
  </si>
  <si>
    <t>2087 IN RE: Hydroxycut Marketing &amp; SP</t>
  </si>
  <si>
    <t>Barry Ted Moskowitz</t>
  </si>
  <si>
    <t>3:09-md-02087</t>
  </si>
  <si>
    <t>2088 IN RE: Fairfield Greenwich Group SEC</t>
  </si>
  <si>
    <t>1:09-md-02088, 1:09-cv-00118</t>
  </si>
  <si>
    <t>2089 IN RE: Delta/AirTran Baggage Fee Antitrust Litigation</t>
  </si>
  <si>
    <t>Timothy C. Batten Sr</t>
  </si>
  <si>
    <t>1:09-md-02089</t>
  </si>
  <si>
    <t>2092 IN RE: Chantix (Varenicline) PL</t>
  </si>
  <si>
    <t>Inge Prytz Johnson</t>
  </si>
  <si>
    <t>2:09-cv-02039</t>
  </si>
  <si>
    <t>2093 IN RE: DirectTV, Inc., Early Cancellation Fee Marketing &amp; SP</t>
  </si>
  <si>
    <t>8:09-ml-02093</t>
  </si>
  <si>
    <t>2094 IN RE: Cheerios Marketing &amp; SP</t>
  </si>
  <si>
    <t>MDL x Docket Entries (2026-04-08)</t>
  </si>
  <si>
    <t>Peter G. Sheridan</t>
  </si>
  <si>
    <t>3:09-cv-02413</t>
  </si>
  <si>
    <t>2096 IN RE: Zicam Cold Remedy Marketing, SP &amp; PL</t>
  </si>
  <si>
    <t>Frederick J. Martone</t>
  </si>
  <si>
    <t>2:09-md-02096</t>
  </si>
  <si>
    <t>2098 IN RE: Kitec Plumbing System Products Liability Litigation</t>
  </si>
  <si>
    <t>Ada Elene Brown</t>
  </si>
  <si>
    <t>3:09-md-02098</t>
  </si>
  <si>
    <t>2100 IN RE: Yasmin and Yaz (Drospirenone) Marketing, Sales Practices and Products Liability Litigation</t>
  </si>
  <si>
    <t>David R. Herndon</t>
  </si>
  <si>
    <t>3:09-md-02100</t>
  </si>
  <si>
    <t>Massive docket; only grabbed case management orders</t>
  </si>
  <si>
    <t>2102 IN RE: Sony Corp. SXRD Rear Projection Television Marketing, Sales Practices &amp; Products Liability Litigation</t>
  </si>
  <si>
    <t>Robert Porter Patterson Jr.</t>
  </si>
  <si>
    <t>1:09-md-02102</t>
  </si>
  <si>
    <t>2103 IN RE: Kentucky Grilled Chicken Coupon Marketing &amp; Sales Practices Litigation</t>
  </si>
  <si>
    <t>1:09-cv-07670</t>
  </si>
  <si>
    <t>2104 IN RE: IKO Roofing Shingle Products Liability Litigation</t>
  </si>
  <si>
    <t>Harold Albert Baker</t>
  </si>
  <si>
    <t>ILC</t>
  </si>
  <si>
    <t>2:09-md-02104</t>
  </si>
  <si>
    <t>2106 IN RE: Fontainebleau Las Vegas Contract Litigation</t>
  </si>
  <si>
    <t>1:09-md-02106</t>
  </si>
  <si>
    <t>2107 IN RE: Budeprion XL Marketing &amp; Sales Practices Litigation</t>
  </si>
  <si>
    <t>Berle M. Schiller</t>
  </si>
  <si>
    <t>2:09-md-02107</t>
  </si>
  <si>
    <t>2109 IN RE: Plasma-Derivative Protein Therapies Antitrust Litigation</t>
  </si>
  <si>
    <t>Joan B. Gottschall</t>
  </si>
  <si>
    <t>1:09-cv-07666</t>
  </si>
  <si>
    <t>2116 IN RE: Apple iPhone 3G and 3GS "MMS" Marketing &amp; Sales Practices</t>
  </si>
  <si>
    <t>Carl J. Barbier</t>
  </si>
  <si>
    <t>2:09-md-02116</t>
  </si>
  <si>
    <t>2118 IN RE: Cyclobenzaprine Hydrochloride Extended-Release Capsule Patent Litigation</t>
  </si>
  <si>
    <t>Sue Lewis Robinson</t>
  </si>
  <si>
    <t>1:09-md-02118</t>
  </si>
  <si>
    <t>2119 IN RE: Mortgage Electronic Registration System (MERS)</t>
  </si>
  <si>
    <t>James A. Teilborg</t>
  </si>
  <si>
    <t>2:09-md-02119</t>
  </si>
  <si>
    <t>2120 IN RE: Pamidronate Products Liability Litigation</t>
  </si>
  <si>
    <t>Kiyo A. Matsumoto</t>
  </si>
  <si>
    <t>1:09-md-02120</t>
  </si>
  <si>
    <t>2121 IN RE: Musical Instruments and Equipment Antitrust Litigation</t>
  </si>
  <si>
    <t>Larry Alan Burns</t>
  </si>
  <si>
    <t>3:09-md-02121</t>
  </si>
  <si>
    <t>2122 IN RE: National Arbitration Forum Trade Practices Litigation</t>
  </si>
  <si>
    <t>0:10-md-02122</t>
  </si>
  <si>
    <t>2124 IN RE: Conseco Life Insurance Co. Lifetrend Insurance Marketing &amp; Sales Practices Litigation</t>
  </si>
  <si>
    <t>3:10-md-02124</t>
  </si>
  <si>
    <t>2126 IN RE: Tramadol Hydrochloride Extended-Release Tablets Patent Litigation</t>
  </si>
  <si>
    <t>Kent A. Jordan</t>
  </si>
  <si>
    <t>1:10-md-02126</t>
  </si>
  <si>
    <t>2135 IN RE: Air Crash at Madrid, Spain - 8/20/08</t>
  </si>
  <si>
    <t>Gary Allen Feess</t>
  </si>
  <si>
    <t>2:10-ml-02135</t>
  </si>
  <si>
    <t>2137 IN RE: SIGG Switzerland (USA), Inc., Aluminum Bottles Marketing &amp; Sales Practices Litigation</t>
  </si>
  <si>
    <t>3:10-md-02137</t>
  </si>
  <si>
    <t>2138 IN RE: Bank of America Wage and Hour Employment Practices Litigation</t>
  </si>
  <si>
    <t>John Watson Lungstrum</t>
  </si>
  <si>
    <t>2:10-md-02138</t>
  </si>
  <si>
    <t>2141 IN RE: Verizon Wireless Data Charges</t>
  </si>
  <si>
    <t>3:10-cv-01749</t>
  </si>
  <si>
    <t>2143 IN RE: Optical Disk Drive Products Antitrust Litigation</t>
  </si>
  <si>
    <t>3:10-md-02143</t>
  </si>
  <si>
    <t>Large docket; only grabbed CMOs</t>
  </si>
  <si>
    <t>2144 IN RE: Air Crash Over the Mid-Atlantic - 6/1/09</t>
  </si>
  <si>
    <t>3:10-md-02144</t>
  </si>
  <si>
    <t>2145 IN RE: Medical Capital Securities Litigation</t>
  </si>
  <si>
    <t>8:10-ml-02145</t>
  </si>
  <si>
    <t>2147 IN RE: AT&amp;T Mobility Wireless Data Services Sales Tax</t>
  </si>
  <si>
    <t>Amy Joan St Eve</t>
  </si>
  <si>
    <t>1:10-cv-02278</t>
  </si>
  <si>
    <t>2157 IN RE: JPMorgan Auction Rate Securities (ARS) Marketing</t>
  </si>
  <si>
    <t>1:10-md-02157</t>
  </si>
  <si>
    <t>2159 IN RE: AutoZone, Inc., Wage and Hour Employment Practices Litigation</t>
  </si>
  <si>
    <t>3:10-md-02159</t>
  </si>
  <si>
    <t>2167 IN RE: JP Morgan Chase Bank Home Equity Line of Credit</t>
  </si>
  <si>
    <t>Rebecca R. Pallmeyer</t>
  </si>
  <si>
    <t>1:10-cv-03647</t>
  </si>
  <si>
    <t>2171 IN RE: Capital One Bank Credit Card Interest Rate Litigation</t>
  </si>
  <si>
    <t>1:10-md-02171</t>
  </si>
  <si>
    <t>2172 IN RE: Toyota Motor Corp. Hybrid Brake Marketing, Sales Practices &amp; Products Liability</t>
  </si>
  <si>
    <t>8:10-ml-02172</t>
  </si>
  <si>
    <t>2173 IN RE: Photochromic Lens Antitrust Litigation</t>
  </si>
  <si>
    <t>8:10-md-02173</t>
  </si>
  <si>
    <t>2183 IN RE: Brican America LLC Equipment Lease</t>
  </si>
  <si>
    <t>1:10-md-02183</t>
  </si>
  <si>
    <t>2186 IN RE: Fresh and Process Potatoes Antitrust Litigation</t>
  </si>
  <si>
    <t>B. Lynn Winmill</t>
  </si>
  <si>
    <t>ID</t>
  </si>
  <si>
    <t>4:10-md-02186</t>
  </si>
  <si>
    <t>2188 IN RE: Apple Inc. iPhone 4 Marketing, Sales Practices and Products Liability Litigation</t>
  </si>
  <si>
    <t>Ronald M. Whyte
Northern</t>
  </si>
  <si>
    <t>5:10-md-02188</t>
  </si>
  <si>
    <t>2190 IN RE: McNeil Consumer Healthcare, et al., Marketing &amp; Sales Practices Litigation</t>
  </si>
  <si>
    <t>2:10-md-02190</t>
  </si>
  <si>
    <t>2193 IN RE: Bank of America Home Affordable Modification Program (HAMP) Contract Litigation</t>
  </si>
  <si>
    <t>Rya Weickert Zobel</t>
  </si>
  <si>
    <t>1:10-md-02193</t>
  </si>
  <si>
    <t>2196 IN RE: Polyurethane Foam Antitrust Litigation</t>
  </si>
  <si>
    <t>Jack Zouhary</t>
  </si>
  <si>
    <t>1:10-md-02196</t>
  </si>
  <si>
    <t>2199 IN RE: POM Wonderful LLC Marketing and Sales Practices Litigation</t>
  </si>
  <si>
    <t>2:10-ml-02199</t>
  </si>
  <si>
    <t>2200 IN RE: Armodafinil Patent Litigation</t>
  </si>
  <si>
    <t>1:10-md-02200</t>
  </si>
  <si>
    <t>2202 IN RE: Regions Bank ATM Fee Notice</t>
  </si>
  <si>
    <t>2:11-md-02202</t>
  </si>
  <si>
    <t>2208 IN RE: Prudential Insurance Company of America SGLI/VGLI Contract Litigation</t>
  </si>
  <si>
    <t>Michael Adrian Ponsor</t>
  </si>
  <si>
    <t>3:11-md-02208</t>
  </si>
  <si>
    <t>2210 IN RE: Listerine Total Care Mouthwash Marketing and Sales Practices Litigation</t>
  </si>
  <si>
    <t>William P. Dimitrouleas</t>
  </si>
  <si>
    <t>0:11-md-02210</t>
  </si>
  <si>
    <t>2213 IN RE: Commodity Exchange, Inc., Silver Futures and Options Trading Litigation</t>
  </si>
  <si>
    <t>Robert P. Patterson, Jr.</t>
  </si>
  <si>
    <t>1:11-md-02213</t>
  </si>
  <si>
    <t>2215 IN RE: Glaceau Vitaminwater Marketing and Sales Practice Litigation (No. II)</t>
  </si>
  <si>
    <t>Dora L. Irizarry</t>
  </si>
  <si>
    <t>1:11-md-02215</t>
  </si>
  <si>
    <t>2217 IN RE: Discover Card Payment Protection Plan Marketing and Sales Practices Litigation</t>
  </si>
  <si>
    <t>John W. Darrah</t>
  </si>
  <si>
    <t>1:11-cv-01462,  1:10-cv-06994?</t>
  </si>
  <si>
    <t>2218 IN RE: Camp Lejeune, North Carolina Water Contamination Litigation</t>
  </si>
  <si>
    <t>1:11-md-02218</t>
  </si>
  <si>
    <t>2220 IN RE: KABA Simplex Locks Marketing and Sales Practices Litigation</t>
  </si>
  <si>
    <t>Donald C. Nugent</t>
  </si>
  <si>
    <t>1:11-md-02220</t>
  </si>
  <si>
    <t>2222 IN RE: Enfamil LIPIL Marketing and Sales Practices Litigation</t>
  </si>
  <si>
    <t>James Cohn</t>
  </si>
  <si>
    <t>0:11-md-2222</t>
  </si>
  <si>
    <t>2223 IN RE: Navistar 6.0 L Diesel Engine Products Liability Litigation</t>
  </si>
  <si>
    <t>1:11-cv-02496</t>
  </si>
  <si>
    <t>2226 IN RE: Darvocet, Darvon and Propoxyphene Products Liability Litigation</t>
  </si>
  <si>
    <t>Danny C. Reeves</t>
  </si>
  <si>
    <t>2:11-md-02226</t>
  </si>
  <si>
    <t>2228 IN RE: Sprint Premium Data Plan Marketing and Sales Practices Litigation</t>
  </si>
  <si>
    <t>2:10-cv-06334</t>
  </si>
  <si>
    <t>2231 IN RE: Lead Contaminated Fruit Juice Products Marketing &amp; SP</t>
  </si>
  <si>
    <t>3:11-md-02231</t>
  </si>
  <si>
    <t>2233 IN RE: Porsche Cars North America, Inc., Plastic Coolant Tubes Products Liability Litigation</t>
  </si>
  <si>
    <t>Gregory L. Frost</t>
  </si>
  <si>
    <t>2:11-md-02233</t>
  </si>
  <si>
    <t>2234 IN RE: Wal-Mart ATM Fee Notice</t>
  </si>
  <si>
    <t>Jon Phipps McCalla</t>
  </si>
  <si>
    <t>TNW</t>
  </si>
  <si>
    <t>2:11-md-02234</t>
  </si>
  <si>
    <t>2235 IN RE: Foot Locker, Inc., Fair Labor Standards Act (FLSA) and Wage &amp; Hour</t>
  </si>
  <si>
    <t>J. Curtis Joyner</t>
  </si>
  <si>
    <t>2:11-md-02235,  2:07-cv-02157?</t>
  </si>
  <si>
    <t>2238 IN RE: Groupon, Inc., Marketing and Sales Practices Litigation</t>
  </si>
  <si>
    <t>3:11-md-02238</t>
  </si>
  <si>
    <t>2241 IN RE: Fenofibrate Patent Litigation</t>
  </si>
  <si>
    <t>1:11-md-02241</t>
  </si>
  <si>
    <t>2242 IN RE: Prograf Antitrust Litigation</t>
  </si>
  <si>
    <t>1:11-md-02242</t>
  </si>
  <si>
    <t>2245 IN RE: Cardtronics ATM Fee Notice</t>
  </si>
  <si>
    <t>3:11-md-02245</t>
  </si>
  <si>
    <t>2247 IN RE: Uponor, Inc., F1807 Plumbing Fittings Products Liability Litigation</t>
  </si>
  <si>
    <t>0:11-md-02247</t>
  </si>
  <si>
    <t>2249 IN RE: Vehicle Tracking and Security System ('844) Patent Litigation</t>
  </si>
  <si>
    <t>0:11-md-02249</t>
  </si>
  <si>
    <t>2250 IN RE: iPhone/iPad Application Consumer Privacy Litigation</t>
  </si>
  <si>
    <t>Lucy Haeran Koh</t>
  </si>
  <si>
    <t>5:11-md-02250</t>
  </si>
  <si>
    <t>2254 IN RE: LivingSocial Marketing &amp; Sales Practices Litigation</t>
  </si>
  <si>
    <t>1:11-mc-00472</t>
  </si>
  <si>
    <t>2258 IN RE: Sony Gaming Networks and Customer Data Security Breach Litigation</t>
  </si>
  <si>
    <t>Anthony Joseph Battaglia</t>
  </si>
  <si>
    <t>3:11-md-02258</t>
  </si>
  <si>
    <t>2261 IN RE: Jiffy Lube International, Inc., Text Spam</t>
  </si>
  <si>
    <t>3:11-md-02261</t>
  </si>
  <si>
    <t>2264 IN RE: Google Inc. Android Consumer Privacy Litigation</t>
  </si>
  <si>
    <t>3:11-md-02264, 5:10-cv-05878?</t>
  </si>
  <si>
    <t>2265 IN RE: Countrywide Financial Corp. Mortgage-Backed Securities Litigation</t>
  </si>
  <si>
    <t>Mariana R. Pfaelzer</t>
  </si>
  <si>
    <t>2:11-ml-02265</t>
  </si>
  <si>
    <t>2266 IN RE: Wells Fargo Wage and Hour Employment Practices Litigation (No. III)</t>
  </si>
  <si>
    <t>Gray Hampton Miller</t>
  </si>
  <si>
    <t>4:11-md-02266</t>
  </si>
  <si>
    <t>2269 IN RE: Bank of America Credit Protection Marketing &amp; Sales Practices Litigation</t>
  </si>
  <si>
    <t>Thelton Eugene Henderson</t>
  </si>
  <si>
    <t>3:11-md-02269</t>
  </si>
  <si>
    <t>2270 IN RE: CertainTeed Fiber Cement Siding Litigation</t>
  </si>
  <si>
    <t>Thomas Newman O'Neill Jr.</t>
  </si>
  <si>
    <t>2:11-md-02270</t>
  </si>
  <si>
    <t>2274 IN RE: CitiMortgage, Inc., Home Affordable Modification Program (HAMP) Contract Litigation</t>
  </si>
  <si>
    <t>2:11-ml-02274</t>
  </si>
  <si>
    <t>2275 IN RE: Gerova Financial Group, Ltd., Securities Litigation</t>
  </si>
  <si>
    <t>Shira A. Scheindlin</t>
  </si>
  <si>
    <t>1:11-md-02275</t>
  </si>
  <si>
    <t>2280 IN RE: Morgan Stanley Smith Barney LLC Wage and Hour Employment Practices Litigation</t>
  </si>
  <si>
    <t>2:11-cv-03121</t>
  </si>
  <si>
    <t>2283 IN RE: Building Materials Corporation of America Asphalt Roofing Shingle Products Liability Litigation</t>
  </si>
  <si>
    <t>Julianna Michelle Childs</t>
  </si>
  <si>
    <t>8:11-mn-02000</t>
  </si>
  <si>
    <t>2284 IN RE: Imprelis Herbicide Marketing, Sales Practices and Products Liability Litigation</t>
  </si>
  <si>
    <t>Gene E.K. Pratter</t>
  </si>
  <si>
    <t>2:11-md-02284</t>
  </si>
  <si>
    <t>2290 IN RE: JPMorgan Chase Mortgage Modification</t>
  </si>
  <si>
    <t>1:11-md-02290</t>
  </si>
  <si>
    <t>2293 IN RE: Electronic Books Antitrust Litigation</t>
  </si>
  <si>
    <t>Denise L. Cote</t>
  </si>
  <si>
    <t>1:11-md-02293</t>
  </si>
  <si>
    <t>2294 IN RE: Webvention LLC ('294) Patent Litigation</t>
  </si>
  <si>
    <t>Catherine C. Blake</t>
  </si>
  <si>
    <t>1:11-md-02294</t>
  </si>
  <si>
    <t>2299 IN RE: Actos (Pioglitazone) Products Liability Litigation</t>
  </si>
  <si>
    <t>Rebecca F. Doherty</t>
  </si>
  <si>
    <t>LAW</t>
  </si>
  <si>
    <t>6:11-md-02299</t>
  </si>
  <si>
    <t>2302 IN RE: A-Power Energy Generation Systems, Ltd., Securities Litigation</t>
  </si>
  <si>
    <t>2:11-ml-02302</t>
  </si>
  <si>
    <t>2303 IN RE: Innovatio IP Ventures, LLC, Patent Litigation</t>
  </si>
  <si>
    <t>Elaine E. Bucklo</t>
  </si>
  <si>
    <t>1:11-cv-09308</t>
  </si>
  <si>
    <t>2308 IN RE: Skechers Toning Shoe Products Liability Litigation</t>
  </si>
  <si>
    <t>3:11-md-02308</t>
  </si>
  <si>
    <t>2309 IN RE: Transdata, Inc., Smart Meters Patent Litigation</t>
  </si>
  <si>
    <t>5:12-ml-02309</t>
  </si>
  <si>
    <t>2314 IN RE: Facebook Internet Tracking</t>
  </si>
  <si>
    <t>Edward John Davila</t>
  </si>
  <si>
    <t>5:12-md-02314</t>
  </si>
  <si>
    <t>2316 IN RE: Ford Motor Co. Defective Spark Plug and 3-Valve Engine Products Liability Litigation</t>
  </si>
  <si>
    <t>Benita Yalonda Pearson</t>
  </si>
  <si>
    <t>1:12-md-02316</t>
  </si>
  <si>
    <t>2317 IN RE: Oreck Corporation Halo Vacuum and Air Purifiers Marketing and Sales Practices Litigation</t>
  </si>
  <si>
    <t>2:12-ml-02317</t>
  </si>
  <si>
    <t>2320 IN RE: Colgate-Palmolive Softsoap Antibacterial Hand Soap Marketing and Sales Practices Litigation</t>
  </si>
  <si>
    <t>Paul J. Barbadoro</t>
  </si>
  <si>
    <t>NH</t>
  </si>
  <si>
    <t>1:12-md-02320</t>
  </si>
  <si>
    <t>2324 IN RE: Horizon Organic Milk Plus DHA Omega-3 Marketing and Sales Practices Litigation</t>
  </si>
  <si>
    <t>Joan A. Lenard</t>
  </si>
  <si>
    <t>1:12-md-02324</t>
  </si>
  <si>
    <t>2328 IN RE: Pool Products Distribution Market Antitrust Litigation</t>
  </si>
  <si>
    <t>Sarah S. Vance</t>
  </si>
  <si>
    <t>2:12-md-02328</t>
  </si>
  <si>
    <t>2330 IN RE: Carrier IQ, Inc., Consumer Privacy Litigation</t>
  </si>
  <si>
    <t>3:12-md-02330</t>
  </si>
  <si>
    <t>2333 IN RE: MI Windows and Doors, Inc., Products Liability Litigation</t>
  </si>
  <si>
    <t>2:12-mn-00001</t>
  </si>
  <si>
    <t>2334 IN RE: Liberty Refund Anticipation Loan</t>
  </si>
  <si>
    <t>1:12-cv-02949</t>
  </si>
  <si>
    <t>2335 IN RE: Bank of New York Mellon Corp. Foreign Exchange Transactions</t>
  </si>
  <si>
    <t>1:12-md-02335</t>
  </si>
  <si>
    <t>BHS: Documents won't download; download error every time</t>
  </si>
  <si>
    <t>2337 IN RE: Royal Alliance Associates, Inc., SEC</t>
  </si>
  <si>
    <t>Juan Ramon Sánchez</t>
  </si>
  <si>
    <t>2:12-md-02337</t>
  </si>
  <si>
    <t>2342 IN RE: Zoloft (Sertraline Hydrochloride) Products Liability Litigation</t>
  </si>
  <si>
    <t>Cynthia M. Rufe</t>
  </si>
  <si>
    <t>2:12-md-02342</t>
  </si>
  <si>
    <t>2343 IN RE: Skelaxin (Metaxalone) Antitrust Litigation</t>
  </si>
  <si>
    <t>Curtis Lynn Collier</t>
  </si>
  <si>
    <t>1:12-md-02343</t>
  </si>
  <si>
    <t>2344 IN RE: Bear Creek Technologies, Inc., ('722) Patent Litigation</t>
  </si>
  <si>
    <t>1:12-md-02344</t>
  </si>
  <si>
    <t>2352 IN RE: Century 21 Department Stores, LLC, Fair and Accurate Credit Transactions Act (FACTA)</t>
  </si>
  <si>
    <t>1:12-md-02352</t>
  </si>
  <si>
    <t>2354 IN RE: Maxim Integrated Products, Inc., Patent Litigation</t>
  </si>
  <si>
    <t>2:12-mc-00244</t>
  </si>
  <si>
    <t>2355 IN RE: Parallel Networks, LLC, ('111) Patent Litigation</t>
  </si>
  <si>
    <t>Leonard E. Davis</t>
  </si>
  <si>
    <t>TXE</t>
  </si>
  <si>
    <t>6:10-cv-00111</t>
  </si>
  <si>
    <t>2357 IN RE: Zappos.com, Inc., Customer Data Security Breach</t>
  </si>
  <si>
    <t>3:12-cv-00325</t>
  </si>
  <si>
    <t>2358 IN RE: Google Inc. Cookie Placement Consumer Privacy Litigation</t>
  </si>
  <si>
    <t>1:12-md-02358</t>
  </si>
  <si>
    <t>2359 IN RE: HardiePlank Fiber Cement Siding</t>
  </si>
  <si>
    <t>Michael James Davis</t>
  </si>
  <si>
    <t>0:12-md-02359</t>
  </si>
  <si>
    <t>2361 IN RE: Simply Orange Orange Juice Marketing and Sales Practices Litigation</t>
  </si>
  <si>
    <t>Fernando J. Gaitan Jr.</t>
  </si>
  <si>
    <t>4:12-md-02361</t>
  </si>
  <si>
    <t>2364 IN RE: Nebivolol ('040) Patent Litigation</t>
  </si>
  <si>
    <t>1:12-cv-05026</t>
  </si>
  <si>
    <t>2371 IN RE: Unified Messaging Solutions LLC Patent Litigation</t>
  </si>
  <si>
    <t>Joan Humphrey Lefkow</t>
  </si>
  <si>
    <t>1:12-cv-06286</t>
  </si>
  <si>
    <t>2372 IN RE: Watson Fentanyl Patch Products Liability Litigation</t>
  </si>
  <si>
    <t>1:12-cv-06296</t>
  </si>
  <si>
    <t>2373 IN RE: H&amp;R Block Refund Anticipation Loan</t>
  </si>
  <si>
    <t>1:12-cv-02973</t>
  </si>
  <si>
    <t>2375 IN RE: Body Science LLC Patent Litigation</t>
  </si>
  <si>
    <t>F. Dennis Saylor IV</t>
  </si>
  <si>
    <t>1:12-md-02375</t>
  </si>
  <si>
    <t>2378 IN RE: Park West Galleries, Inc.</t>
  </si>
  <si>
    <t>1:12-md-02378</t>
  </si>
  <si>
    <t>2380 IN RE: Shop-Vac Marketing and Sales Practices Litigation</t>
  </si>
  <si>
    <t>James Martin Munley</t>
  </si>
  <si>
    <t>3:12-cv-02380</t>
  </si>
  <si>
    <t>2384 IN RE: Swisher Hygiene, Inc., Securities and Derivative Litigation</t>
  </si>
  <si>
    <t>3:12-md-02384</t>
  </si>
  <si>
    <t>2385 IN RE: Pradaxa (Dabigatran Etexilate) Products Liability Litigation</t>
  </si>
  <si>
    <t>3:12-md-02385</t>
  </si>
  <si>
    <t>2389 IN RE: Facebook, Inc., IPO Securities and Derivative Litigation</t>
  </si>
  <si>
    <t>1:12-md-02389</t>
  </si>
  <si>
    <t>2395 IN RE: Air Crash at Georgetown, Guyana - 7/30/12</t>
  </si>
  <si>
    <t>Allyne R. Ross</t>
  </si>
  <si>
    <t>1:12-md-02395</t>
  </si>
  <si>
    <t>2396 IN RE: TR Labs Patent Litigation</t>
  </si>
  <si>
    <t>3:09-cv-03883</t>
  </si>
  <si>
    <t>2398 IN RE: Enhanced Recovery Company, LLC, Telephone Consumer Protection Act (TCPA)</t>
  </si>
  <si>
    <t>Roy Bale Dalton Jr.</t>
  </si>
  <si>
    <t>6:13-md-02398</t>
  </si>
  <si>
    <t>2404 IN RE: Nexium (Esomeprazole) Products Liability</t>
  </si>
  <si>
    <t>2:12-ml-02404</t>
  </si>
  <si>
    <t>2405 IN RE: On-Line Travel Company (OTC)/Hotel Booking Antitrust Litigation</t>
  </si>
  <si>
    <t>3:12-md-02405, 3:12-cv-03515</t>
  </si>
  <si>
    <t>2407 IN RE: Higher One OneAccount Marketing and Sales Practices Litigation</t>
  </si>
  <si>
    <t>Vanessa Lynne Bryant</t>
  </si>
  <si>
    <t>3:12-md-02407</t>
  </si>
  <si>
    <t>2409 IN RE: Nexium (Esomeprazole) Antitrust Litigation</t>
  </si>
  <si>
    <t>1:12-md-02409</t>
  </si>
  <si>
    <t>2413 IN RE: Frito Lay North America, Inc., "All Natural"</t>
  </si>
  <si>
    <t>Roslynn Renee Mauskopf</t>
  </si>
  <si>
    <t>1:12-md-02413</t>
  </si>
  <si>
    <t>2415 IN RE: L'Oreal Wrinkle Cream Marketing and Sales Practices Litigation</t>
  </si>
  <si>
    <t>2:12-cv-03571</t>
  </si>
  <si>
    <t>2416 IN RE: Capital One Telephone Consumer Protection Act</t>
  </si>
  <si>
    <t>1:12-cv-10064</t>
  </si>
  <si>
    <t>2424 IN RE: Hyundai and Kia Fuel Economy</t>
  </si>
  <si>
    <t>2:13-ml-02424</t>
  </si>
  <si>
    <t>2426 IN RE: TRS Recovery Services, Inc., and TeleCheck Services, Inc., FDCPA</t>
  </si>
  <si>
    <t>2:13-md-02426</t>
  </si>
  <si>
    <t>2429 IN RE: Automated Transactions LLC Patent Litigation</t>
  </si>
  <si>
    <t>Sue L. Robinson</t>
  </si>
  <si>
    <t>1:13-md-02429</t>
  </si>
  <si>
    <t>2430 IN RE: Google Inc. Gmail Litigation</t>
  </si>
  <si>
    <t>5:13-md-02430</t>
  </si>
  <si>
    <t>2432 IN RE: Neurografix ('360) Patent Litigation</t>
  </si>
  <si>
    <t>1:13-md-02432</t>
  </si>
  <si>
    <t>2438 IN RE: 5-Hour Energy Marketing and Sales Practices Litigation</t>
  </si>
  <si>
    <t>2:13-ml-02438</t>
  </si>
  <si>
    <t>2439 IN RE: Subway Footlong Sandwich Marketing and Sales Practices Litigation</t>
  </si>
  <si>
    <t>2:13-md-02439</t>
  </si>
  <si>
    <t>2443 IN RE: Nickelodeon Consumer Privacy</t>
  </si>
  <si>
    <t>2:12-cv-07829</t>
  </si>
  <si>
    <t>2446 IN RE: Standard &amp; Poor's Rating Agency Litigation</t>
  </si>
  <si>
    <t>Jesse Matthew Furman</t>
  </si>
  <si>
    <t>1:13-md-02446</t>
  </si>
  <si>
    <t>2450 IN RE: Ford Fusion and C-Max Fuel Economy Litigation</t>
  </si>
  <si>
    <t>Kenneth M. Karas</t>
  </si>
  <si>
    <t>7:13-md-02450</t>
  </si>
  <si>
    <t>2451 IN RE: HSBC Bank USA, N.A. Debit Card Overdraft Fee</t>
  </si>
  <si>
    <t>Arthur Donald Spatt</t>
  </si>
  <si>
    <t>2:13-md-02451</t>
  </si>
  <si>
    <t>2454 IN RE: Franck's Lab, Inc., Products Liability Litigation</t>
  </si>
  <si>
    <t>2:13-md-02454</t>
  </si>
  <si>
    <t>2455 IN RE: Stericycle, Inc., Steri-Safe Contract Litigation</t>
  </si>
  <si>
    <t>1:13-cv-05795</t>
  </si>
  <si>
    <t>2458 IN RE: Effexor (Venlafaxine Hydrochloride) Products Liability Litigation</t>
  </si>
  <si>
    <t>2:13-md-02458</t>
  </si>
  <si>
    <t>2461 IN RE: MyKey Technology Inc. Patent Litigation</t>
  </si>
  <si>
    <t>2:13-ml-02461</t>
  </si>
  <si>
    <t>2470 IN RE: Schnuck Markets, Inc., Customer Data Security Breach</t>
  </si>
  <si>
    <t>John Andrew Ross</t>
  </si>
  <si>
    <t>4:13-md-02470</t>
  </si>
  <si>
    <t>2471 IN RE: Vehicle Carrier Services Antitrust Litigation</t>
  </si>
  <si>
    <t>2:13-cv-03306</t>
  </si>
  <si>
    <t>2473 IN RE: Monsanto Company Genetically-Engineered Wheat</t>
  </si>
  <si>
    <t>2:13-md-02473</t>
  </si>
  <si>
    <t>2474 IN RE: H&amp;R Block IRS Form 8863</t>
  </si>
  <si>
    <t>4:13-md-02474</t>
  </si>
  <si>
    <t>2476 IN RE: Credit Default Swaps Antitrust Litigation</t>
  </si>
  <si>
    <t>1:13-md-02476</t>
  </si>
  <si>
    <t>2478 IN RE: Convergent Telephone Consumer Protection Act (TCPA) Litigation</t>
  </si>
  <si>
    <t>3:13-md-02478</t>
  </si>
  <si>
    <t>2481 IN RE: Aluminum Warehousing Antitrust Litigation</t>
  </si>
  <si>
    <t>Paul Adam Engelmayer</t>
  </si>
  <si>
    <t>1:13-md-02481</t>
  </si>
  <si>
    <t>2485 IN RE: New Cingular Wireless, PCS, LLC, Data Services Sales Tax Refund</t>
  </si>
  <si>
    <t>2:13-md-02485</t>
  </si>
  <si>
    <t>2488 IN RE: Anheuser-Busch Beer Labeling Marketing and Sales Practices Litigation</t>
  </si>
  <si>
    <t>DONALD C. NUGENT</t>
  </si>
  <si>
    <t>1:13-md-2448</t>
  </si>
  <si>
    <t>2491 IN RE: GNC Corp. Triflex Products Marketing, SP &amp; PL (No. II)</t>
  </si>
  <si>
    <t>J. Frederick Motz</t>
  </si>
  <si>
    <t>1:14-md-02491</t>
  </si>
  <si>
    <t>2494 IN RE: Columbia and Snake River Dams Clean Water Act</t>
  </si>
  <si>
    <t>Lonny R. Suko</t>
  </si>
  <si>
    <t>WAE</t>
  </si>
  <si>
    <t>2:13-md-02494</t>
  </si>
  <si>
    <t>2497 IN RE: Air Crash at San Francisco, CA - 7/6/13</t>
  </si>
  <si>
    <t>Yvonne Gonzalez Rogers</t>
  </si>
  <si>
    <t>4:13-md-02497</t>
  </si>
  <si>
    <t>2498 IN RE: Nutramax Cosamin Marketing and Sales Practices Litigation</t>
  </si>
  <si>
    <t>1:14-md-02498</t>
  </si>
  <si>
    <t>2502 IN RE: Lipitor (Atorvastatin Calcium) Marketing, Sales Practices and Products Liability Litigation (No. II)</t>
  </si>
  <si>
    <t>Richard Mark Gergel</t>
  </si>
  <si>
    <t>2:14-mn-02502</t>
  </si>
  <si>
    <t>2503 IN RE: Solodyn (Minocycline Hydrochloride) Antitrust Litigation</t>
  </si>
  <si>
    <t>Denise Jefferson Casper</t>
  </si>
  <si>
    <t>1:14-md-2503</t>
  </si>
  <si>
    <t>2506 IN RE: AZEK Building Products, Inc., Marketing &amp; Sales Practices Litigation</t>
  </si>
  <si>
    <t>Madeline Cox Arleo</t>
  </si>
  <si>
    <t>2:12-cv-06627</t>
  </si>
  <si>
    <t>2508 IN RE: Cast Iron Soil Pipe and Fittings Antitrust Litigation</t>
  </si>
  <si>
    <t>Harry Sandlin Mattice Jr</t>
  </si>
  <si>
    <t>1:14-md-02508</t>
  </si>
  <si>
    <t>2510 IN RE Brca1- And Brca2- Based Hereditary Cancer Test Patent Litigation</t>
  </si>
  <si>
    <t>Robert James Shelby</t>
  </si>
  <si>
    <t>UT</t>
  </si>
  <si>
    <t>2:14-md-02510</t>
  </si>
  <si>
    <t>2511 IN RE: Neomedic Pelvic Repair System Products Liability Litigation</t>
  </si>
  <si>
    <t>2:14-md-02511</t>
  </si>
  <si>
    <t>2513 IN RE: Collecto, Inc., Telephone Consumer Protection Act (TCPA)</t>
  </si>
  <si>
    <t>1:14-md-02513</t>
  </si>
  <si>
    <t>2514 IN RE: Pella Corporation Architect and Designer Series Windows Marketing, Sales Practices &amp; Products Liability</t>
  </si>
  <si>
    <t>2:14-mn-00001</t>
  </si>
  <si>
    <t>2515 IN RE: Pilot Flying J Fuel Rebate Contract Litigation (No. II)</t>
  </si>
  <si>
    <t>Amul Roger Thapar</t>
  </si>
  <si>
    <t>2:14-md-02515</t>
  </si>
  <si>
    <t>2519 IN RE: AIG Workers Compensation Insurance Policyholder</t>
  </si>
  <si>
    <t>1:14-cv-02528</t>
  </si>
  <si>
    <t>2521 IN RE: Lidoderm Antitrust Litigation</t>
  </si>
  <si>
    <t>William Horsley Orrick III</t>
  </si>
  <si>
    <t>3:14-md-02521</t>
  </si>
  <si>
    <t>2527 IN RE: First National Collection Bureau, Inc., Telephone Consumer Protection Act (TCPA)</t>
  </si>
  <si>
    <t>Kent J. Dawson</t>
  </si>
  <si>
    <t>2:14-cv-00557</t>
  </si>
  <si>
    <t>2528 IN RE: Natrol, Inc., Glucosamine/Chondroitin Marketing and Sales Practices Litigation</t>
  </si>
  <si>
    <t>1:14-md-02528</t>
  </si>
  <si>
    <t>2531 IN RE: Michaels Stores, Inc., Wage &amp; Hour EP</t>
  </si>
  <si>
    <t>2:14-ml-02531</t>
  </si>
  <si>
    <t>2532 IN RE: Yosemite National Park Hantavirus Litigation</t>
  </si>
  <si>
    <t>3:14-md-02532</t>
  </si>
  <si>
    <t>2534 IN RE: TLI Communications LLC Patent Litigation</t>
  </si>
  <si>
    <t>Thomas Selby Ellis III</t>
  </si>
  <si>
    <t>1:14-md-2534</t>
  </si>
  <si>
    <t>2540 IN RE: Caterpillar, Inc., C13 and C15 Engine Products Liability Litigation</t>
  </si>
  <si>
    <t>Jerome B. Simandle</t>
  </si>
  <si>
    <t>1:14-cv-03722</t>
  </si>
  <si>
    <t>2562 IN RE: Blue Buffalo Company, Ltd., Marketing and Sales Practices Litigation</t>
  </si>
  <si>
    <t>4:14-md-02562</t>
  </si>
  <si>
    <t>2564 IN RE: Life Time Fitness, Inc., Telephone Consumer Protection Act (TCPA)</t>
  </si>
  <si>
    <t>0:14-md-02564</t>
  </si>
  <si>
    <t>2571 IN RE: Impulse Monitoring, Inc., Aetna Interoperative Monitoring Service Claims &amp; ERISA</t>
  </si>
  <si>
    <t>Edward George Smith</t>
  </si>
  <si>
    <t>5:14-md-02571</t>
  </si>
  <si>
    <t>2577 IN RE: GAF Elk Cross Timbers Decking Marketing, Sales Practices and Products Liability Litigation</t>
  </si>
  <si>
    <t>2:15-cv-00018</t>
  </si>
  <si>
    <t>2581 IN RE: CTP Innovations, LLC, Patent Litigation</t>
  </si>
  <si>
    <t>1:14-md-02581</t>
  </si>
  <si>
    <t>2583 IN RE: The Home Depot, Inc., Customer Data Security Breach</t>
  </si>
  <si>
    <t>1:14-md-02583</t>
  </si>
  <si>
    <t>2588 IN RE: Whole Foods Market, Inc., Greek Yogurt Marketing and Sales Practices Litigation</t>
  </si>
  <si>
    <t>Sam Sparks</t>
  </si>
  <si>
    <t>TXW</t>
  </si>
  <si>
    <t>1:14-mc-02588</t>
  </si>
  <si>
    <t>2600 IN RE: Protegrity Corporation and Protegrity USA, Inc., Patent Litigation</t>
  </si>
  <si>
    <t>James Donato</t>
  </si>
  <si>
    <t>3:15-md-02600</t>
  </si>
  <si>
    <t>2602 IN RE: Rust-Oleum Restore Marketing Sales Practices &amp; Products Liability Litigation</t>
  </si>
  <si>
    <t>1:15-cv-01364</t>
  </si>
  <si>
    <t>2617 IN RE: Anthem, Inc., Customer Data Security Breach Litigation</t>
  </si>
  <si>
    <t>5:15-md-02617</t>
  </si>
  <si>
    <t>2619 IN RE: Herbal Supplements Marketing &amp; Sales Practices Litigation</t>
  </si>
  <si>
    <t>1:15-cv-05070</t>
  </si>
  <si>
    <t>2631 IN RE: Alibaba Group Holding Limited Securities Litigation</t>
  </si>
  <si>
    <t>1:15-md-02631</t>
  </si>
  <si>
    <t>2639 IN RE: Pacquiao-Mayweather Boxing Match Pay-Per-View Litigation</t>
  </si>
  <si>
    <t>2:15-ml-02639</t>
  </si>
  <si>
    <t>2652 IN RE: Ethicon, Inc., Power Morcellator PL</t>
  </si>
  <si>
    <t>2:15-md-02652</t>
  </si>
  <si>
    <t>2654 IN RE: Amtrak Train Derailment in Philadelphia, Pennsylvania, on May 12, 2015</t>
  </si>
  <si>
    <t>2:15-md-02654</t>
  </si>
  <si>
    <t>2661 IN RE: American Honda Motor Co., Inc., CR-V Vibration Marketing and Sales Practices Litigation</t>
  </si>
  <si>
    <t>Michael H. Watson</t>
  </si>
  <si>
    <t>2:15-md-02661</t>
  </si>
  <si>
    <t>2668 IN RE: National Football League's "Sunday Ticket" Antitrust Litigation</t>
  </si>
  <si>
    <t>2:15-ml-02668</t>
  </si>
  <si>
    <t>2688 IN RE: Windsor Wood Clad Window Products Liability Litigation</t>
  </si>
  <si>
    <t>2:16-md-02688</t>
  </si>
  <si>
    <t>2700 IN RE: Genentech, Inc., Herceptin (Trastuzumab) Marketing and Sales Practices Litigation</t>
  </si>
  <si>
    <t>Terence C. Kern</t>
  </si>
  <si>
    <t>4:16-md-02700</t>
  </si>
  <si>
    <t>2712 IN RE: Air Crash Over the Southern Indian Ocean, on March 8, 2014</t>
  </si>
  <si>
    <t>Ketanji Brown Jackson</t>
  </si>
  <si>
    <t>1:16-mc-01184</t>
  </si>
  <si>
    <t>2719 IN RE: The Honest Company, Inc., Sodium Lauryl Sulfate (SLS) Marketing and Sales Practices Litigation</t>
  </si>
  <si>
    <t>Andre Birotte Jr.</t>
  </si>
  <si>
    <t>2:16-ml-02719</t>
  </si>
  <si>
    <t>2722 IN RE: Mobile Telecommunications Technologies, LLC, Patent Litigation</t>
  </si>
  <si>
    <t>1:16-md-02722</t>
  </si>
  <si>
    <t>2731 IN RE: Sprouts Farmers Market, Inc., Employee Data Security Breach Litigation</t>
  </si>
  <si>
    <t>Douglas L. Rayes</t>
  </si>
  <si>
    <t>2:16-md-02731</t>
  </si>
  <si>
    <t>2896 IN RE: Auryxia (Ferric Citrate) Patent Litigation</t>
  </si>
  <si>
    <t>Stark, Leonard P.</t>
  </si>
  <si>
    <t>1:19-md-02896</t>
  </si>
  <si>
    <t>2901 IN RE: Ford Motor Co. F-150 and Ranger Truck Fuel Economy Marketing and Sales Practices Litigation</t>
  </si>
  <si>
    <t>Cox, Sean F.</t>
  </si>
  <si>
    <t>2:19-md-02901</t>
  </si>
  <si>
    <t>2902 IN RE: Sitagliptin Phosphate ('708 &amp; '921) Patent Litigation</t>
  </si>
  <si>
    <t>Andrews, Richard G.</t>
  </si>
  <si>
    <t>1:19-md-02902</t>
  </si>
  <si>
    <t>2903 IN RE: Fisher-Price Rock 'n Play Sleeper Marketing, Sales Practices, and Products Liability Litigation</t>
  </si>
  <si>
    <t>Crawford, Geoffrey W.</t>
  </si>
  <si>
    <t>1:19-md-02903</t>
  </si>
  <si>
    <t>2904 IN RE: American Medical Collection Agency, Inc., Customer Data Security Breach Litigation</t>
  </si>
  <si>
    <t>Data Breach and Consumer Privacy</t>
  </si>
  <si>
    <t>Arleo, Madeline C.</t>
  </si>
  <si>
    <t>2:19-md-02904</t>
  </si>
  <si>
    <t>2905 IN RE: ZF-TRW Airbag Control Units Products Liability Litigation</t>
  </si>
  <si>
    <t>Kronstadt, John A.</t>
  </si>
  <si>
    <t>2:19-ml-02905</t>
  </si>
  <si>
    <t>2909 IN RE: Fairlife Milk Products Marketing and Sales Practices Litigation</t>
  </si>
  <si>
    <t>Dow, Robert M.</t>
  </si>
  <si>
    <t>1:19-cv-03924</t>
  </si>
  <si>
    <t>2912 IN RE: Palbociclib Patent Litigation</t>
  </si>
  <si>
    <t>Connolly, Colm F.</t>
  </si>
  <si>
    <t>1:19-md-02912</t>
  </si>
  <si>
    <t>2913 IN RE: Juul Labs, Inc., Marketing, Sales Practices, and Products Liability Litigation</t>
  </si>
  <si>
    <t>Orrick, William H.</t>
  </si>
  <si>
    <t>3:19-md-02913</t>
  </si>
  <si>
    <t>Massive docket; only grabbed case management orders to avoid compliance issues with Lexis</t>
  </si>
  <si>
    <t>2914 IN RE: ERMI LLC ('289) Patent Litigation</t>
  </si>
  <si>
    <t>Altman, Roy K.</t>
  </si>
  <si>
    <t>0:19-md-02914</t>
  </si>
  <si>
    <t>2915 IN RE: Capital One Consumer Data Security Breach Litigation</t>
  </si>
  <si>
    <t>Trenga, Anthony J.</t>
  </si>
  <si>
    <t>1:19-md-02915</t>
  </si>
  <si>
    <t>2918 IN RE: Hard Disk Drive Suspension Assemblies Antitrust Litigation</t>
  </si>
  <si>
    <t>Chesney, Maxine M</t>
  </si>
  <si>
    <t>3:19-md-02918</t>
  </si>
  <si>
    <t>2921 IN RE: Allergan Biocell Textured Breast Implant Products Liability Litigation</t>
  </si>
  <si>
    <t>Martinotti, Brian R.</t>
  </si>
  <si>
    <t>2:19-md-02921</t>
  </si>
  <si>
    <t>2924 IN RE: Zantac (Ranitidine) Products Liability Litigation</t>
  </si>
  <si>
    <t>Rosenberg, Robin L.</t>
  </si>
  <si>
    <t>9:20-md-02924</t>
  </si>
  <si>
    <t>Massive docket; only grabbed pre-trial orders</t>
  </si>
  <si>
    <t>2925 IN RE: Rail Freight Fuel Surcharge Antitrust Litigation (No. II)</t>
  </si>
  <si>
    <t>Howell, Beryl A.</t>
  </si>
  <si>
    <t>1:20-mc-00008</t>
  </si>
  <si>
    <t>2930 IN RE: Entresto (Sacubitril/Valsartan) Patent Litigation</t>
  </si>
  <si>
    <t>1:20-md-02930</t>
  </si>
  <si>
    <t>2931 IN RE: Delta Dental Antitrust Litigation</t>
  </si>
  <si>
    <t>Bucklo, Elaine E.</t>
  </si>
  <si>
    <t>1:19-cv-06734</t>
  </si>
  <si>
    <t>2933 IN RE: TransUnion Rental Screening Solutions, Inc., Fair Credit Reporting Act</t>
  </si>
  <si>
    <t>Boulee, Jean-Paul</t>
  </si>
  <si>
    <t>1:20-md-02933</t>
  </si>
  <si>
    <t>2936 IN RE: Smitty's/CAM2 303 Tractor Hydraulic Fluid Marketing, Sales Practices and Products Liability Litigation</t>
  </si>
  <si>
    <t>Bough, Stephen R.</t>
  </si>
  <si>
    <t>4:20-md-02936</t>
  </si>
  <si>
    <t>2938 IN RE: Evenflo Company, Inc., Marketing, Sales Practices and</t>
  </si>
  <si>
    <t>Casper, Denise J.</t>
  </si>
  <si>
    <t>1:20-md-02938</t>
  </si>
  <si>
    <t>2941 IN RE: Nine West LBO Securities Litigation</t>
  </si>
  <si>
    <t>Rakoff, Jed S.</t>
  </si>
  <si>
    <t>1:20-md-02941</t>
  </si>
  <si>
    <t>2945 IN RE: Ahern Rentals, Inc., Trade Secret Litigation</t>
  </si>
  <si>
    <t>Phillips, Beth</t>
  </si>
  <si>
    <t>2:20-md-02945</t>
  </si>
  <si>
    <t>2946 IN RE: Inclusive Access Course Materials Antitrust Litigation</t>
  </si>
  <si>
    <t>Cote, Denise L.</t>
  </si>
  <si>
    <t>1:20-md-02946</t>
  </si>
  <si>
    <t>2947 IN RE: Lowe's Companies, Inc., Fair Labor Standards Act (FLSA) and Wage and Hour Litigation</t>
  </si>
  <si>
    <t>Bell, Kenneth D.</t>
  </si>
  <si>
    <t>5:20-md-02947</t>
  </si>
  <si>
    <t>2948 IN RE: TikTok, Inc., Consumer Privacy Litigation</t>
  </si>
  <si>
    <t>Lee, John Z.</t>
  </si>
  <si>
    <t>1:20-cv-04699</t>
  </si>
  <si>
    <t>2949 IN RE: Profemur Hip Implant Products Liability Litigation</t>
  </si>
  <si>
    <t>Baker, Kristine G.</t>
  </si>
  <si>
    <t>ARE</t>
  </si>
  <si>
    <t>4:20-md-02949</t>
  </si>
  <si>
    <t>2951 IN RE: StubHub Refund Litigation</t>
  </si>
  <si>
    <t>Gilliam, Haywood S.</t>
  </si>
  <si>
    <t>4:20-md-02951</t>
  </si>
  <si>
    <t>2955 IN RE: Arch Insurance Company Ski Pass Insurance Litigation</t>
  </si>
  <si>
    <t>Wimes, Brian C.</t>
  </si>
  <si>
    <t>4:20-md-02955</t>
  </si>
  <si>
    <t>2959 IN RE: Proven Networks, LLC, Patent Litigation</t>
  </si>
  <si>
    <t>Albright, Alan D</t>
  </si>
  <si>
    <t>6:20-mc-02959</t>
  </si>
  <si>
    <t>2964 IN RE: Society Insurance Company COVID-19 Business Interruption Protection Insurance Litigation</t>
  </si>
  <si>
    <t>Chang, Edmond E.</t>
  </si>
  <si>
    <t>1:20-cv-05965</t>
  </si>
  <si>
    <t>2966 IN RE: Xyrem (Sodium Oxybate) Antitrust Litigation</t>
  </si>
  <si>
    <t>Koh, Lucy H.</t>
  </si>
  <si>
    <t>5:20-md-02966</t>
  </si>
  <si>
    <t>2967 IN RE: Clearview AI, Inc., Consumer Privacy Litigation</t>
  </si>
  <si>
    <t>Coleman, Sharon Johnson</t>
  </si>
  <si>
    <t>1:21-cv-00135</t>
  </si>
  <si>
    <t>2968 IN RE: Generali COVID-19 Travel Insurance Litigation</t>
  </si>
  <si>
    <t>Koeltl, John G</t>
  </si>
  <si>
    <t>1:20-md-02968</t>
  </si>
  <si>
    <t>2969 IN RE: Erie COVID-19 Business Interruption Protection Insurance Litigation</t>
  </si>
  <si>
    <t>Hornak, Mark R.</t>
  </si>
  <si>
    <t>1:21-mc-00001</t>
  </si>
  <si>
    <t>2972 IN RE: Blackbaud, Inc., Customer Data Security Breach Litigation</t>
  </si>
  <si>
    <t>Childs, J Michelle</t>
  </si>
  <si>
    <t>3:20-mn-02972</t>
  </si>
  <si>
    <t>2973 IN RE: Elmiron (Pentosan Polysulfate Sodium) Products Liability Litigation</t>
  </si>
  <si>
    <t>2:20-md-02973</t>
  </si>
  <si>
    <t>2974 IN RE: Paragard IUD Products Liability Litigation</t>
  </si>
  <si>
    <t>May, Leigh Martin</t>
  </si>
  <si>
    <t>1:20-md-02974</t>
  </si>
  <si>
    <t>2975 IN RE: United Specialty Insurance Company Ski Pass Insurance Litigation</t>
  </si>
  <si>
    <t>Rogers, Yvonne Gonzalez</t>
  </si>
  <si>
    <t>4:20-md-02975</t>
  </si>
  <si>
    <t>2977 IN RE: Broiler Chicken Grower Antitrust Litigation (No. II)</t>
  </si>
  <si>
    <t>Shelby, Robert J.</t>
  </si>
  <si>
    <t>OKE</t>
  </si>
  <si>
    <t>6:20-md-02977</t>
  </si>
  <si>
    <t>2981 IN RE: Google Play Store Antitrust Litigation</t>
  </si>
  <si>
    <t>Donato, James</t>
  </si>
  <si>
    <t>3:21-md-02981</t>
  </si>
  <si>
    <t>2984 IN RE: Folgers Coffee Marketing and Sales Practices Litigation</t>
  </si>
  <si>
    <t>4:21-md-02984</t>
  </si>
  <si>
    <t>2985 IN RE: Apple Inc. App Store Simulated Casino-Style Games Litigation</t>
  </si>
  <si>
    <t>Davila, Edward J.</t>
  </si>
  <si>
    <t>5:21-md-02985</t>
  </si>
  <si>
    <t>2988 IN RE: All-Clad Metalcrafters, LLC, Cookware Marketing and Sales Practices Litigation</t>
  </si>
  <si>
    <t>Ranjan, J. Nicholas</t>
  </si>
  <si>
    <t>2:21-mc-00491</t>
  </si>
  <si>
    <t>2989 IN RE: January 2021 Short Squeeze Trading Litigation</t>
  </si>
  <si>
    <t>Altonaga, Cecilia M.</t>
  </si>
  <si>
    <t>1:21-md-02989</t>
  </si>
  <si>
    <t>2992 IN RE: Bank of America California Unemployment Benefits Litigation</t>
  </si>
  <si>
    <t>Burns, Larry Alan</t>
  </si>
  <si>
    <t>3:21-md-02992</t>
  </si>
  <si>
    <t>2993 IN RE: Crop Inputs Antitrust Litigation</t>
  </si>
  <si>
    <t>Clark, Stephen R</t>
  </si>
  <si>
    <t>4:21-md-02993</t>
  </si>
  <si>
    <t>2994 IN RE: Mednax Services, Inc., Customer Data Security Breach Litigation</t>
  </si>
  <si>
    <t>Ruiz, Rodolfo A.</t>
  </si>
  <si>
    <t>0:21-md-02994</t>
  </si>
  <si>
    <t>2996 IN RE: McKinsey &amp; Company, Inc., National Prescription Opiate Consultant Litigation</t>
  </si>
  <si>
    <t>Breyer, Charles R.</t>
  </si>
  <si>
    <t>3:21-md-02996</t>
  </si>
  <si>
    <t>Big MDL; only retrieved pre-trial orders</t>
  </si>
  <si>
    <t>2998 IN RE: Pork Antitrust Litigation</t>
  </si>
  <si>
    <t>Tunheim, John R.</t>
  </si>
  <si>
    <t>0:21-md-02998</t>
  </si>
  <si>
    <t>3001 IN RE: Google Play Store Simulated Casino-Style Games Litigation</t>
  </si>
  <si>
    <t>5:21-md-03001</t>
  </si>
  <si>
    <t>3004 IN RE: Paraquat Products Liability Litigation</t>
  </si>
  <si>
    <t>Rosenstengel, Nancy J.</t>
  </si>
  <si>
    <t>3:21-md-03004</t>
  </si>
  <si>
    <t>3006 IN RE: Tasigna (Nilotinib) Products Liability Litigation</t>
  </si>
  <si>
    <t>Dalton, Roy B.</t>
  </si>
  <si>
    <t>6:21-md-03006</t>
  </si>
  <si>
    <t>3009 IN RE: Seresto Flea and Tick Collar Marketing, Sales Practices and Products Liability Litigation</t>
  </si>
  <si>
    <t>Blakey, John Robert</t>
  </si>
  <si>
    <t>1:21-cv-04447</t>
  </si>
  <si>
    <t>3010 IN RE: Google Digital Advertising Antitrust Litigation</t>
  </si>
  <si>
    <t>Castel, P. Kevin</t>
  </si>
  <si>
    <t>1:21-md-03010</t>
  </si>
  <si>
    <t>3014 IN RE: Philips Recalled CPAP, Bi-Level PAP, and Mechanical Ventilator Products Liability Litigation</t>
  </si>
  <si>
    <t>Conti, Joy Flowers</t>
  </si>
  <si>
    <t>2:21-mc-01230</t>
  </si>
  <si>
    <t>3015 IN RE: Johnson &amp; Johnson Sunscreen Marketing, Sales Practices and Products Liability Litigation</t>
  </si>
  <si>
    <t>Singhal, Raag</t>
  </si>
  <si>
    <t>0:21-md-03015</t>
  </si>
  <si>
    <t>3017 IN RE: Xarelto (Rivaroxaban) ('310) Patent Litigation</t>
  </si>
  <si>
    <t>1:21-md-03017</t>
  </si>
  <si>
    <t>3019 IN RE: T-Mobile Customer Data Security Breach Litigation</t>
  </si>
  <si>
    <t>4:21-md-03019</t>
  </si>
  <si>
    <t>3021 IN RE: SoClean, Inc., Marketing, Sales Practices and Products Liability Litigation</t>
  </si>
  <si>
    <t>2:22-mc-00152</t>
  </si>
  <si>
    <t>3023 IN RE: Taxotere (Docetaxel) Eye Injury Products Liability Litigation</t>
  </si>
  <si>
    <t>Milazzo, Jane Triche</t>
  </si>
  <si>
    <t>2:22-md-03023</t>
  </si>
  <si>
    <t>3025 IN RE: Procter &amp; Gamble Aerosol Products Marketing and Sales Practices Litigation</t>
  </si>
  <si>
    <t>Watson, Michael H.</t>
  </si>
  <si>
    <t>2:22-md-03025</t>
  </si>
  <si>
    <t>3026 IN RE: Abbott Laboratories, et al., Preterm Infant Nutrition Products Liability Litigation</t>
  </si>
  <si>
    <t>Pallmeyer, Rebecca R.</t>
  </si>
  <si>
    <t>1:22-cv-00071</t>
  </si>
  <si>
    <t>3028 IN RE: ONE Apus Container Ship Incident on November 30, 2020</t>
  </si>
  <si>
    <t>Engelmayer, Paul A.</t>
  </si>
  <si>
    <t>1:22-md-03028</t>
  </si>
  <si>
    <t>3029 IN RE: Covidien Hernia Mesh Products Liability Litigation (No. II)</t>
  </si>
  <si>
    <t>Saris, Patti B.</t>
  </si>
  <si>
    <t>1:22-md-03029</t>
  </si>
  <si>
    <t>3030 IN RE: Deere &amp; Company Repair Services Antitrust Litigation</t>
  </si>
  <si>
    <t>Johnston, Iain D.</t>
  </si>
  <si>
    <t>3:22-cv-50188</t>
  </si>
  <si>
    <t>3031 IN RE: Cattle and Beef Antitrust Litigation</t>
  </si>
  <si>
    <t>0:22-md-03031</t>
  </si>
  <si>
    <t>3032 IN RE: Family Dollar Stores, Inc., Pest Infestation Litigation</t>
  </si>
  <si>
    <t>Lipman, Sheryl H.</t>
  </si>
  <si>
    <t>2:22-md-03032</t>
  </si>
  <si>
    <t>3034 IN RE: Neo Wireless, LLC, Patent Litigation</t>
  </si>
  <si>
    <t>Berg, Terrence G.</t>
  </si>
  <si>
    <t>2:22-md-03034</t>
  </si>
  <si>
    <t>3035 IN RE: AME Church Employee Retirement Fund Litigation</t>
  </si>
  <si>
    <t>Anderson, S. Thomas</t>
  </si>
  <si>
    <t>1:22-md-03035</t>
  </si>
  <si>
    <t>3036 IN RE: Gardasil Products Liability Litigation</t>
  </si>
  <si>
    <t>Conrad, Robert J.</t>
  </si>
  <si>
    <t>3:22-md-03036</t>
  </si>
  <si>
    <t>3037 IN RE: Recalled Abbott Infant Formula Products Liability Litigation</t>
  </si>
  <si>
    <t>Kennelly, Matthew F.</t>
  </si>
  <si>
    <t>1:22-cv-04148</t>
  </si>
  <si>
    <t>3038 IN RE: Ozempic (Semaglutide) Patent Litigation</t>
  </si>
  <si>
    <t>1:22-md-03038</t>
  </si>
  <si>
    <t>3040 IN RE: Chrysler Pacifica Fire Recall Products Liability Litigation</t>
  </si>
  <si>
    <t>Lawson, David M.</t>
  </si>
  <si>
    <t>2:22-cv-03040</t>
  </si>
  <si>
    <t>3042 IN RE: Taasera Licensing, LLC, Patent Litigation</t>
  </si>
  <si>
    <t>Gilstrap, James Rodney</t>
  </si>
  <si>
    <t>2:22-md-03042</t>
  </si>
  <si>
    <t>3043 IN RE: Acetaminophen - ASD/ADHD Products Liability Litigation</t>
  </si>
  <si>
    <t>1:22-md-03043</t>
  </si>
  <si>
    <t>3044 IN RE: Exactech Polyethylene Orthopedic Products Liability Litigation</t>
  </si>
  <si>
    <t>Garaufis, Nicholas G.</t>
  </si>
  <si>
    <t>1:22-md-03044</t>
  </si>
  <si>
    <t>3047 IN RE: Social Media Adolescent Addiction/Personal Injury Products Liability Litigation</t>
  </si>
  <si>
    <t>4:22-md-03047</t>
  </si>
  <si>
    <t>Large docket; only retrieved CMOs</t>
  </si>
  <si>
    <t>3050 IN RE: Chantix (Varenicline) Marketing, Sales Practices and Products Liability Litigation (No. II)</t>
  </si>
  <si>
    <t>Failla, Katherine Polk</t>
  </si>
  <si>
    <t>1:22-md-03050</t>
  </si>
  <si>
    <t>3051 IN RE: ARC Airbag Inflators Products Liability Litigation</t>
  </si>
  <si>
    <t>Ross, Eleanor L.</t>
  </si>
  <si>
    <t>1:22-md-03051</t>
  </si>
  <si>
    <t>3052 IN RE: Kia Hyundai Vehicle Theft Marketing, Sales Practices, and Products Liability Litigation</t>
  </si>
  <si>
    <t>Selna, James V.</t>
  </si>
  <si>
    <t>8:22-ml-03052</t>
  </si>
  <si>
    <t>3055 IN RE: Samsung Customer Data Security Breach Litigation</t>
  </si>
  <si>
    <t>O'Hearn, Christine P.</t>
  </si>
  <si>
    <t>1:23-md-03055</t>
  </si>
  <si>
    <t>3056 IN RE: Overby-Seawell Company Customer Data Security Breach Litigation</t>
  </si>
  <si>
    <t>Grimberg, Steven D.</t>
  </si>
  <si>
    <t>1:23-md-03056</t>
  </si>
  <si>
    <t>3059 IN RE: Beyond Meat, Inc., Protein Content Marketing and Sales Practices Litigation</t>
  </si>
  <si>
    <t>Ellis, Sara L.</t>
  </si>
  <si>
    <t>1:23-cv-00669</t>
  </si>
  <si>
    <t>3060 IN RE: Hair Relaxer Marketing, Sales Practices, and Products Liability Litigation</t>
  </si>
  <si>
    <t>Rowland, Mary M.</t>
  </si>
  <si>
    <t>1:23-cv-00818</t>
  </si>
  <si>
    <t>3062 IN RE: Crop Protection Products Loyalty Program Antitrust Litigation</t>
  </si>
  <si>
    <t>Schroeder, Thomas D.</t>
  </si>
  <si>
    <t>NCM</t>
  </si>
  <si>
    <t>1:23-md-03062</t>
  </si>
  <si>
    <t>3064 IN RE: Harley-Davidson Aftermarket Parts Marketing, Sales Practices and Antitrust Litigation</t>
  </si>
  <si>
    <t>Griesbach, William C.</t>
  </si>
  <si>
    <t>2:23-md-03064</t>
  </si>
  <si>
    <t>3071 IN RE: RealPage, Inc., Rental Software Antitrust Litigation (No. II)</t>
  </si>
  <si>
    <t>Crenshaw, Waverly D.</t>
  </si>
  <si>
    <t>3:23-md-03071</t>
  </si>
  <si>
    <t>3072 IN RE: Air Crash Into the Java Sea on January 9, 2021</t>
  </si>
  <si>
    <t>Hilton, Claude M.</t>
  </si>
  <si>
    <t>1:23-md-03072</t>
  </si>
  <si>
    <t>3073 IN RE: T-Mobile 2022 Customer Data Security Breach Litigation</t>
  </si>
  <si>
    <t>4:23-md-03073</t>
  </si>
  <si>
    <t>3074 IN RE: BPS Direct, LLC, and Cabela's, LLC, Wiretapping Litigation</t>
  </si>
  <si>
    <t>Kearney, Mark A.</t>
  </si>
  <si>
    <t>2:23-md-03074</t>
  </si>
  <si>
    <t>3075 IN RE: Prepared Food Photos, Inc., Copyright Litigation</t>
  </si>
  <si>
    <t>Scriven, Mary S.</t>
  </si>
  <si>
    <t>8:23-md-03075</t>
  </si>
  <si>
    <t>3076 IN RE: FTX Cryptocurrency Exchange Collapse Litigation</t>
  </si>
  <si>
    <t>Moore, K. Michael</t>
  </si>
  <si>
    <t>1:23-md-03076</t>
  </si>
  <si>
    <t>3078 IN RE: Generac Solar Power Systems Marketing, Sales Practices and Products Liability Litigation</t>
  </si>
  <si>
    <t>Adelman, Lynn S.</t>
  </si>
  <si>
    <t>2:23-md-03078</t>
  </si>
  <si>
    <t>3079 IN RE: Tepezza Marketing, Sales Practices, and Products Liability Litigation</t>
  </si>
  <si>
    <t>Durkin, Thomas M.</t>
  </si>
  <si>
    <t>1:23-cv-03568</t>
  </si>
  <si>
    <t>3080 IN RE: Insulin Pricing Litigation</t>
  </si>
  <si>
    <t>2:23-md-03080</t>
  </si>
  <si>
    <t>3081 IN RE: Bard Implanted Port Catheter Products Liability Litigation</t>
  </si>
  <si>
    <t>Campbell, David G.</t>
  </si>
  <si>
    <t>2:23-md-03081</t>
  </si>
  <si>
    <t>3083 IN RE: MOVEit Customer Data Security Breach Litigation</t>
  </si>
  <si>
    <t>Burroughs, Allison D.</t>
  </si>
  <si>
    <t>1:23-md-03083</t>
  </si>
  <si>
    <t>3084 IN RE: Uber Technologies, Inc., Passenger Sexual Assault Litigation</t>
  </si>
  <si>
    <t>3:23-md-03084</t>
  </si>
  <si>
    <t>Huge docket; only retreived items labaelled pretrial order or case management order</t>
  </si>
  <si>
    <t>3087 IN RE: Future Motion, Inc. Products Liability Litigation</t>
  </si>
  <si>
    <t>Freeman, Beth Labson</t>
  </si>
  <si>
    <t>5:23-md-03087</t>
  </si>
  <si>
    <t>3089 IN RE: Oral Phenylephrine Marketing and Sales Practices Litigation</t>
  </si>
  <si>
    <t>Cogan, Brian M.</t>
  </si>
  <si>
    <t>1:23-md-03089</t>
  </si>
  <si>
    <t>3090 IN RE: Fortra File Transfer Software Data Security Breach Litigation</t>
  </si>
  <si>
    <t>1:24-md-03090</t>
  </si>
  <si>
    <t>3092 IN RE: Suboxone (Buprenorphine/Naloxone) Film Products Liability Litigation</t>
  </si>
  <si>
    <t>Calabrese, J. Philip</t>
  </si>
  <si>
    <t>1:24-md-03092</t>
  </si>
  <si>
    <t>3093 IN RE: Pipe Flashing Patent Litigation</t>
  </si>
  <si>
    <t>Nugent, Donald C.</t>
  </si>
  <si>
    <t>1:24-md-03093</t>
  </si>
  <si>
    <t>3094 IN RE: Glucagon-like Peptide-1 Receptor Agonists (GLP-1 RAs) Products Liability Litigation</t>
  </si>
  <si>
    <t>Marston, Karen S.</t>
  </si>
  <si>
    <t>2:24-md-03094</t>
  </si>
  <si>
    <t>3096 IN RE: Perry Johnson &amp; Associates Medical Transcription Data Security Breach Litigation</t>
  </si>
  <si>
    <t>Kovner, Rachel P.</t>
  </si>
  <si>
    <t>1:24-md-03096</t>
  </si>
  <si>
    <t>3097 IN RE: Concrete and Cement Additives Antitrust Litigation</t>
  </si>
  <si>
    <t>Liman, Lewis J.</t>
  </si>
  <si>
    <t>1:24-md-03097</t>
  </si>
  <si>
    <t>3098 IN RE: 23andMe, Inc., Customer Data Security Breach Litigation</t>
  </si>
  <si>
    <t>Chen, Edward M.</t>
  </si>
  <si>
    <t>3:24-md-03098</t>
  </si>
  <si>
    <t>3101 IN RE: Baby Food Products Liability Litigation</t>
  </si>
  <si>
    <t>Corley, Jacqueline Scott</t>
  </si>
  <si>
    <t>3:24-md-03101</t>
  </si>
  <si>
    <t>3102 IN RE: The Church of Jesus Christ of Latter-Day Saints Tithing Litigation</t>
  </si>
  <si>
    <t>2:24-md-03102</t>
  </si>
  <si>
    <t>3103 IN RE: Aflibercept Patent Litigation</t>
  </si>
  <si>
    <t>Kleeh, Thomas S.</t>
  </si>
  <si>
    <t>WVN</t>
  </si>
  <si>
    <t>1:24-md-03103</t>
  </si>
  <si>
    <t>3107 IN RE: Passenger Vehicle Replacement Tires Antitrust Litigation</t>
  </si>
  <si>
    <t>Lioi, Sara</t>
  </si>
  <si>
    <t>5:24-md-03107</t>
  </si>
  <si>
    <t>3108 IN RE: Change Healthcare, Inc., Customer Data Security Breach Litigation</t>
  </si>
  <si>
    <t>Frank, Donovan W.</t>
  </si>
  <si>
    <t>0:24-md-03108</t>
  </si>
  <si>
    <t>3110 IN RE: Granulated Sugar Antitrust Litigation</t>
  </si>
  <si>
    <t>Blackwell, Jerry W.</t>
  </si>
  <si>
    <t>0:24-md-03110</t>
  </si>
  <si>
    <t>3111 IN RE: Capital One 360 Savings Account Interest Rate Litigation</t>
  </si>
  <si>
    <t>Novak, David J.</t>
  </si>
  <si>
    <t>1:24-md-03111</t>
  </si>
  <si>
    <t>3113 IN RE: Apple Inc. Smartphone Antitrust Litigation</t>
  </si>
  <si>
    <t>Neals, Julien Xavier</t>
  </si>
  <si>
    <t>2:24-md-03113</t>
  </si>
  <si>
    <t>3114 IN RE: AT&amp;T Inc. Customer Data Security Breach Litigation</t>
  </si>
  <si>
    <t>Brown, Ada E.</t>
  </si>
  <si>
    <t>3:24-md-03114</t>
  </si>
  <si>
    <t>3115 IN RE: Consumer Vehicle Driving Data Tracking Litigation</t>
  </si>
  <si>
    <t>Thrash, Thomas W.</t>
  </si>
  <si>
    <t>1:24-md-03115</t>
  </si>
  <si>
    <t>3119 IN RE: Shale Oil Antitrust Litigation</t>
  </si>
  <si>
    <t>Garcia, Matthew L.</t>
  </si>
  <si>
    <t>NM</t>
  </si>
  <si>
    <t>1:24-md-03119</t>
  </si>
  <si>
    <t>3121 IN RE: MultiPlan Health Insurance Provider Litigation</t>
  </si>
  <si>
    <t>1:24-cv-06795</t>
  </si>
  <si>
    <t>3125 IN RE: AngioDynamics, Inc., and Navilyst Medical, Inc., Port Catheter Products Liability Litigation</t>
  </si>
  <si>
    <t>Ohta, Jinsook</t>
  </si>
  <si>
    <t>3:24-md-03125</t>
  </si>
  <si>
    <t>3126 IN RE: Snowflake, Inc., Data Security Breach Litigation</t>
  </si>
  <si>
    <t>Morris, Brian</t>
  </si>
  <si>
    <t>MT</t>
  </si>
  <si>
    <t>2:24-md-03126</t>
  </si>
  <si>
    <t>3127 IN RE: Evolve Bank &amp; Trust Customer Data Security Breach Litigation</t>
  </si>
  <si>
    <t>2:24-md-03127</t>
  </si>
  <si>
    <t>3128 IN RE: Dividend Solar Finance, LLC, and Fifth Third Bank Sales and Lending Practices Litigation</t>
  </si>
  <si>
    <t>Menendez, Katherine Marie</t>
  </si>
  <si>
    <t>0:24-md-03128</t>
  </si>
  <si>
    <t>3132 IN RE: Midwest Energy Emissions Corp. Patent Litigation</t>
  </si>
  <si>
    <t>Locher, Stephen H.</t>
  </si>
  <si>
    <t>4:24-md-03132</t>
  </si>
  <si>
    <t>3134 IN RE: AVYCAZ (Ceftazidime and Avibactam) Patent Litigation</t>
  </si>
  <si>
    <t>Quraishi, Zahid N.</t>
  </si>
  <si>
    <t>3:25-md-03134</t>
  </si>
  <si>
    <t>3138 IN RE: Denosumab Patent Litigation</t>
  </si>
  <si>
    <t>1:25-md-03138</t>
  </si>
  <si>
    <t>3140 IN RE: Depo-Provera (Depot Medroxyprogesterone Acetate) Products Liability Litigation</t>
  </si>
  <si>
    <t>Rodgers, M. Casey</t>
  </si>
  <si>
    <t>FLN</t>
  </si>
  <si>
    <t>3:25-md-03140</t>
  </si>
  <si>
    <t>3143 IN RE: OpenAI, Inc., Copyright Infringement Litigation</t>
  </si>
  <si>
    <t>Stein, Sidney H.</t>
  </si>
  <si>
    <t>1:25-md-03143</t>
  </si>
  <si>
    <t>3144 IN RE: TikTok, Inc., Minor Privacy Litigation</t>
  </si>
  <si>
    <t>Wu, George H.</t>
  </si>
  <si>
    <t>2:25-ml-03144</t>
  </si>
  <si>
    <t>3148 IN RE: GoodRx and Pharmacy Benefit Manager Antitrust Litigation (No. II)</t>
  </si>
  <si>
    <t>McElroy, Mary S.</t>
  </si>
  <si>
    <t>1:25-md-03148</t>
  </si>
  <si>
    <t>3149 IN RE: PowerSchool Holdings, Inc., and PowerSchool Group, LLC Customer Data Security Breach Litigation</t>
  </si>
  <si>
    <t>Benitez, Roger T.</t>
  </si>
  <si>
    <t>3:25-md-03149</t>
  </si>
  <si>
    <t>N complete</t>
  </si>
  <si>
    <t>N unassigned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</si>
</sst>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9">
    <font>
      <sz val="10.0"/>
      <color rgb="FF000000"/>
      <name val="Arial"/>
      <scheme val="minor"/>
    </font>
    <font>
      <b/>
      <sz val="10.0"/>
      <color theme="1"/>
      <name val="Arial"/>
    </font>
    <font>
      <color theme="1"/>
      <name val="Arial"/>
      <scheme val="minor"/>
    </font>
    <font>
      <color rgb="FF000000"/>
      <name val="Arial"/>
    </font>
    <font>
      <color theme="1"/>
      <name val="Arial"/>
    </font>
    <font>
      <u/>
      <sz val="10.0"/>
      <color rgb="FF0000FF"/>
      <name val="Times New Roman"/>
    </font>
    <font>
      <color rgb="FFFF0000"/>
      <name val="Arial"/>
    </font>
    <font>
      <sz val="10.0"/>
      <color rgb="FF000000"/>
      <name val="Arial"/>
    </font>
    <font>
      <sz val="10.0"/>
      <color theme="1"/>
      <name val="Arial"/>
    </font>
    <font>
      <u/>
      <sz val="10.0"/>
      <color theme="10"/>
      <name val="Arial"/>
    </font>
    <font>
      <sz val="10.0"/>
      <color theme="1"/>
      <name val="Times New Roman"/>
    </font>
    <font>
      <sz val="10.0"/>
      <color rgb="FF467886"/>
      <name val="Arial"/>
    </font>
    <font>
      <u/>
      <sz val="10.0"/>
      <color rgb="FF467886"/>
      <name val="Arial"/>
    </font>
    <font>
      <u/>
      <sz val="10.0"/>
      <color theme="10"/>
      <name val="Arial"/>
    </font>
    <font>
      <sz val="10.0"/>
      <color rgb="FF000000"/>
      <name val="Times New Roman"/>
    </font>
    <font>
      <u/>
      <sz val="10.0"/>
      <color theme="10"/>
      <name val="Arial"/>
    </font>
    <font>
      <u/>
      <sz val="10.0"/>
      <color theme="10"/>
      <name val="Arial"/>
    </font>
    <font>
      <color theme="1"/>
      <name val="&quot;\0022Times New Roman\0022&quot;"/>
    </font>
    <font>
      <b/>
      <sz val="10.0"/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F9900"/>
        <bgColor rgb="FFFF9900"/>
      </patternFill>
    </fill>
  </fills>
  <borders count="2">
    <border/>
    <border>
      <right style="thin">
        <color rgb="FFA0A0A0"/>
      </right>
      <top style="thin">
        <color rgb="FFA0A0A0"/>
      </top>
      <bottom style="thin">
        <color rgb="FFA0A0A0"/>
      </bottom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top" wrapText="1"/>
    </xf>
    <xf borderId="1" fillId="0" fontId="1" numFmtId="0" xfId="0" applyAlignment="1" applyBorder="1" applyFont="1">
      <alignment vertical="top"/>
    </xf>
    <xf borderId="1" fillId="0" fontId="1" numFmtId="14" xfId="0" applyAlignment="1" applyBorder="1" applyFont="1" applyNumberFormat="1">
      <alignment vertical="top"/>
    </xf>
    <xf borderId="0" fillId="0" fontId="1" numFmtId="2" xfId="0" applyAlignment="1" applyFont="1" applyNumberFormat="1">
      <alignment vertical="top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 vertical="top"/>
    </xf>
    <xf borderId="0" fillId="0" fontId="3" numFmtId="14" xfId="0" applyAlignment="1" applyFont="1" applyNumberFormat="1">
      <alignment horizontal="right" readingOrder="0" shrinkToFit="0" vertical="bottom" wrapText="0"/>
    </xf>
    <xf borderId="0" fillId="0" fontId="3" numFmtId="2" xfId="0" applyAlignment="1" applyFont="1" applyNumberFormat="1">
      <alignment horizontal="right" readingOrder="0" shrinkToFit="0" vertical="bottom" wrapText="0"/>
    </xf>
    <xf borderId="0" fillId="0" fontId="5" numFmtId="0" xfId="0" applyAlignment="1" applyFont="1">
      <alignment horizontal="left" shrinkToFit="0" vertical="top" wrapText="1"/>
    </xf>
    <xf borderId="0" fillId="0" fontId="3" numFmtId="0" xfId="0" applyAlignment="1" applyFont="1">
      <alignment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2" fontId="3" numFmtId="0" xfId="0" applyAlignment="1" applyFill="1" applyFont="1">
      <alignment readingOrder="0" shrinkToFit="0" vertical="bottom" wrapText="0"/>
    </xf>
    <xf borderId="0" fillId="0" fontId="7" numFmtId="0" xfId="0" applyFont="1"/>
    <xf borderId="0" fillId="0" fontId="8" numFmtId="0" xfId="0" applyAlignment="1" applyFont="1">
      <alignment shrinkToFit="0" vertical="top" wrapText="1"/>
    </xf>
    <xf borderId="0" fillId="0" fontId="7" numFmtId="14" xfId="0" applyFont="1" applyNumberFormat="1"/>
    <xf borderId="0" fillId="0" fontId="7" numFmtId="2" xfId="0" applyFont="1" applyNumberFormat="1"/>
    <xf borderId="0" fillId="0" fontId="9" numFmtId="0" xfId="0" applyAlignment="1" applyFont="1">
      <alignment horizontal="left" shrinkToFit="0" vertical="top" wrapText="1"/>
    </xf>
    <xf borderId="0" fillId="0" fontId="7" numFmtId="0" xfId="0" applyAlignment="1" applyFont="1">
      <alignment readingOrder="0"/>
    </xf>
    <xf borderId="0" fillId="0" fontId="2" numFmtId="0" xfId="0" applyFont="1"/>
    <xf borderId="0" fillId="2" fontId="7" numFmtId="0" xfId="0" applyAlignment="1" applyFont="1">
      <alignment readingOrder="0"/>
    </xf>
    <xf borderId="0" fillId="0" fontId="10" numFmtId="0" xfId="0" applyAlignment="1" applyFont="1">
      <alignment horizontal="left" shrinkToFit="0" vertical="top" wrapText="1"/>
    </xf>
    <xf borderId="0" fillId="0" fontId="7" numFmtId="0" xfId="0" applyAlignment="1" applyFont="1">
      <alignment vertical="center"/>
    </xf>
    <xf borderId="0" fillId="3" fontId="7" numFmtId="0" xfId="0" applyAlignment="1" applyFill="1" applyFont="1">
      <alignment readingOrder="0"/>
    </xf>
    <xf borderId="0" fillId="0" fontId="11" numFmtId="0" xfId="0" applyAlignment="1" applyFont="1">
      <alignment horizontal="left" readingOrder="0" shrinkToFit="0" vertical="top" wrapText="1"/>
    </xf>
    <xf borderId="0" fillId="0" fontId="12" numFmtId="0" xfId="0" applyAlignment="1" applyFont="1">
      <alignment horizontal="left" readingOrder="0" shrinkToFit="0" vertical="top" wrapText="1"/>
    </xf>
    <xf borderId="0" fillId="0" fontId="8" numFmtId="0" xfId="0" applyAlignment="1" applyFont="1">
      <alignment vertical="top"/>
    </xf>
    <xf borderId="0" fillId="0" fontId="7" numFmtId="0" xfId="0" applyAlignment="1" applyFont="1">
      <alignment horizontal="left" readingOrder="0" shrinkToFit="0" vertical="top" wrapText="1"/>
    </xf>
    <xf borderId="0" fillId="4" fontId="7" numFmtId="0" xfId="0" applyAlignment="1" applyFill="1" applyFont="1">
      <alignment readingOrder="0"/>
    </xf>
    <xf borderId="0" fillId="0" fontId="8" numFmtId="0" xfId="0" applyAlignment="1" applyFont="1">
      <alignment shrinkToFit="0" wrapText="1"/>
    </xf>
    <xf borderId="0" fillId="0" fontId="13" numFmtId="0" xfId="0" applyAlignment="1" applyFont="1">
      <alignment horizontal="left" shrinkToFit="0" wrapText="1"/>
    </xf>
    <xf borderId="0" fillId="0" fontId="14" numFmtId="0" xfId="0" applyAlignment="1" applyFont="1">
      <alignment horizontal="left"/>
    </xf>
    <xf borderId="0" fillId="0" fontId="15" numFmtId="0" xfId="0" applyAlignment="1" applyFont="1">
      <alignment horizontal="left"/>
    </xf>
    <xf borderId="0" fillId="0" fontId="16" numFmtId="0" xfId="0" applyAlignment="1" applyFont="1">
      <alignment horizontal="left" vertical="top"/>
    </xf>
    <xf borderId="0" fillId="0" fontId="4" numFmtId="0" xfId="0" applyAlignment="1" applyFont="1">
      <alignment readingOrder="0" shrinkToFit="0" vertical="bottom" wrapText="0"/>
    </xf>
    <xf borderId="0" fillId="0" fontId="4" numFmtId="14" xfId="0" applyAlignment="1" applyFont="1" applyNumberFormat="1">
      <alignment horizontal="right" readingOrder="0" shrinkToFit="0" vertical="bottom" wrapText="0"/>
    </xf>
    <xf borderId="0" fillId="0" fontId="4" numFmtId="14" xfId="0" applyAlignment="1" applyFont="1" applyNumberFormat="1">
      <alignment shrinkToFit="0" vertical="bottom" wrapText="0"/>
    </xf>
    <xf borderId="0" fillId="0" fontId="3" numFmtId="2" xfId="0" applyAlignment="1" applyFont="1" applyNumberFormat="1">
      <alignment shrinkToFit="0" vertical="bottom" wrapText="0"/>
    </xf>
    <xf borderId="0" fillId="0" fontId="4" numFmtId="2" xfId="0" applyAlignment="1" applyFont="1" applyNumberFormat="1">
      <alignment shrinkToFit="0" vertical="bottom" wrapText="0"/>
    </xf>
    <xf borderId="0" fillId="0" fontId="4" numFmtId="164" xfId="0" applyAlignment="1" applyFont="1" applyNumberFormat="1">
      <alignment horizontal="right" readingOrder="0" shrinkToFit="0" vertical="bottom" wrapText="0"/>
    </xf>
    <xf borderId="0" fillId="0" fontId="4" numFmtId="0" xfId="0" applyAlignment="1" applyFont="1">
      <alignment horizontal="left" readingOrder="0" shrinkToFit="0" vertical="top" wrapText="0"/>
    </xf>
    <xf borderId="0" fillId="0" fontId="17" numFmtId="0" xfId="0" applyAlignment="1" applyFont="1">
      <alignment horizontal="left" readingOrder="0" shrinkToFit="0" vertical="bottom" wrapText="0"/>
    </xf>
    <xf borderId="0" fillId="0" fontId="17" numFmtId="14" xfId="0" applyAlignment="1" applyFont="1" applyNumberFormat="1">
      <alignment horizontal="right" readingOrder="0" shrinkToFit="0" vertical="bottom" wrapText="0"/>
    </xf>
    <xf borderId="0" fillId="0" fontId="4" numFmtId="0" xfId="0" applyAlignment="1" applyFont="1">
      <alignment readingOrder="0" shrinkToFit="0" vertical="top" wrapText="0"/>
    </xf>
    <xf borderId="0" fillId="0" fontId="17" numFmtId="0" xfId="0" applyAlignment="1" applyFont="1">
      <alignment readingOrder="0" shrinkToFit="0" vertical="top" wrapText="0"/>
    </xf>
    <xf borderId="0" fillId="0" fontId="17" numFmtId="14" xfId="0" applyAlignment="1" applyFont="1" applyNumberFormat="1">
      <alignment horizontal="right" readingOrder="0" shrinkToFit="0" vertical="top" wrapText="0"/>
    </xf>
    <xf borderId="0" fillId="0" fontId="17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8" numFmtId="0" xfId="0" applyFont="1"/>
    <xf borderId="0" fillId="0" fontId="8" numFmtId="14" xfId="0" applyFont="1" applyNumberFormat="1"/>
    <xf borderId="0" fillId="0" fontId="8" numFmtId="2" xfId="0" applyFont="1" applyNumberFormat="1"/>
    <xf borderId="0" fillId="0" fontId="18" numFmtId="0" xfId="0" applyAlignment="1" applyFont="1">
      <alignment readingOrder="0"/>
    </xf>
    <xf borderId="0" fillId="0" fontId="18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77.25"/>
    <col customWidth="1" min="2" max="2" width="28.0"/>
    <col customWidth="1" min="3" max="3" width="26.13"/>
    <col customWidth="1" min="4" max="4" width="20.63"/>
    <col customWidth="1" min="5" max="5" width="12.63"/>
    <col customWidth="1" min="6" max="6" width="23.38"/>
    <col customWidth="1" min="7" max="7" width="16.88"/>
    <col customWidth="1" min="8" max="8" width="19.25"/>
    <col customWidth="1" min="9" max="9" width="22.75"/>
    <col customWidth="1" min="10" max="10" width="70.5"/>
  </cols>
  <sheetData>
    <row r="1" ht="16.5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1" t="s">
        <v>8</v>
      </c>
      <c r="J1" s="5" t="s">
        <v>9</v>
      </c>
    </row>
    <row r="2" ht="12.75" customHeight="1">
      <c r="A2" s="6" t="s">
        <v>10</v>
      </c>
      <c r="B2" s="6" t="s">
        <v>11</v>
      </c>
      <c r="C2" s="6" t="s">
        <v>12</v>
      </c>
      <c r="D2" s="7" t="s">
        <v>13</v>
      </c>
      <c r="E2" s="7" t="s">
        <v>14</v>
      </c>
      <c r="F2" s="8">
        <v>38399.0</v>
      </c>
      <c r="G2" s="8">
        <v>39238.0</v>
      </c>
      <c r="H2" s="9">
        <v>2.3</v>
      </c>
      <c r="I2" s="6" t="s">
        <v>15</v>
      </c>
      <c r="J2" s="10"/>
    </row>
    <row r="3" ht="12.75" customHeight="1">
      <c r="A3" s="6" t="s">
        <v>16</v>
      </c>
      <c r="B3" s="11"/>
      <c r="C3" s="6" t="s">
        <v>17</v>
      </c>
      <c r="D3" s="7" t="s">
        <v>18</v>
      </c>
      <c r="E3" s="7" t="s">
        <v>19</v>
      </c>
      <c r="F3" s="8">
        <v>38399.0</v>
      </c>
      <c r="G3" s="8">
        <v>38790.0</v>
      </c>
      <c r="H3" s="9">
        <v>1.08</v>
      </c>
      <c r="I3" s="6" t="s">
        <v>20</v>
      </c>
      <c r="J3" s="10"/>
    </row>
    <row r="4" ht="12.75" customHeight="1">
      <c r="A4" s="6" t="s">
        <v>21</v>
      </c>
      <c r="B4" s="6" t="s">
        <v>22</v>
      </c>
      <c r="C4" s="6" t="s">
        <v>12</v>
      </c>
      <c r="D4" s="7" t="s">
        <v>23</v>
      </c>
      <c r="E4" s="7" t="s">
        <v>24</v>
      </c>
      <c r="F4" s="8">
        <v>38400.0</v>
      </c>
      <c r="G4" s="8">
        <v>38779.0</v>
      </c>
      <c r="H4" s="9">
        <v>1.04</v>
      </c>
      <c r="I4" s="6" t="s">
        <v>25</v>
      </c>
      <c r="J4" s="10"/>
    </row>
    <row r="5" ht="12.75" customHeight="1">
      <c r="A5" s="6" t="s">
        <v>26</v>
      </c>
      <c r="B5" s="6" t="s">
        <v>27</v>
      </c>
      <c r="C5" s="6" t="s">
        <v>28</v>
      </c>
      <c r="D5" s="7" t="s">
        <v>29</v>
      </c>
      <c r="E5" s="7" t="s">
        <v>30</v>
      </c>
      <c r="F5" s="8">
        <v>38399.0</v>
      </c>
      <c r="G5" s="8">
        <v>43363.0</v>
      </c>
      <c r="H5" s="9">
        <v>13.59</v>
      </c>
      <c r="I5" s="6" t="s">
        <v>31</v>
      </c>
      <c r="J5" s="10"/>
    </row>
    <row r="6" ht="12.75" customHeight="1">
      <c r="A6" s="6" t="s">
        <v>32</v>
      </c>
      <c r="B6" s="6" t="s">
        <v>22</v>
      </c>
      <c r="C6" s="6" t="s">
        <v>12</v>
      </c>
      <c r="D6" s="7" t="s">
        <v>33</v>
      </c>
      <c r="E6" s="7" t="s">
        <v>34</v>
      </c>
      <c r="F6" s="8">
        <v>38406.0</v>
      </c>
      <c r="G6" s="8">
        <v>42636.0</v>
      </c>
      <c r="H6" s="9">
        <v>11.58</v>
      </c>
      <c r="I6" s="6" t="s">
        <v>35</v>
      </c>
      <c r="J6" s="10"/>
    </row>
    <row r="7" ht="12.75" customHeight="1">
      <c r="A7" s="6" t="s">
        <v>36</v>
      </c>
      <c r="B7" s="6" t="s">
        <v>22</v>
      </c>
      <c r="C7" s="6" t="s">
        <v>12</v>
      </c>
      <c r="D7" s="7" t="s">
        <v>37</v>
      </c>
      <c r="E7" s="7" t="s">
        <v>38</v>
      </c>
      <c r="F7" s="8">
        <v>38405.0</v>
      </c>
      <c r="G7" s="8">
        <v>39077.0</v>
      </c>
      <c r="H7" s="9">
        <v>1.84</v>
      </c>
      <c r="I7" s="6" t="s">
        <v>39</v>
      </c>
      <c r="J7" s="10"/>
    </row>
    <row r="8" ht="12.75" customHeight="1">
      <c r="A8" s="6" t="s">
        <v>40</v>
      </c>
      <c r="B8" s="6" t="s">
        <v>11</v>
      </c>
      <c r="C8" s="6" t="s">
        <v>17</v>
      </c>
      <c r="D8" s="7" t="s">
        <v>41</v>
      </c>
      <c r="E8" s="7" t="s">
        <v>42</v>
      </c>
      <c r="F8" s="8">
        <v>38399.0</v>
      </c>
      <c r="G8" s="8">
        <v>40393.0</v>
      </c>
      <c r="H8" s="9">
        <v>5.46</v>
      </c>
      <c r="I8" s="6" t="s">
        <v>43</v>
      </c>
      <c r="J8" s="10"/>
    </row>
    <row r="9" ht="12.75" customHeight="1">
      <c r="A9" s="6" t="s">
        <v>44</v>
      </c>
      <c r="B9" s="6" t="s">
        <v>11</v>
      </c>
      <c r="C9" s="6" t="s">
        <v>45</v>
      </c>
      <c r="D9" s="7" t="s">
        <v>46</v>
      </c>
      <c r="E9" s="7" t="s">
        <v>38</v>
      </c>
      <c r="F9" s="8">
        <v>38399.0</v>
      </c>
      <c r="G9" s="8">
        <v>39716.0</v>
      </c>
      <c r="H9" s="9">
        <v>3.61</v>
      </c>
      <c r="I9" s="6" t="s">
        <v>47</v>
      </c>
      <c r="J9" s="10"/>
    </row>
    <row r="10" ht="12.75" customHeight="1">
      <c r="A10" s="6" t="s">
        <v>48</v>
      </c>
      <c r="B10" s="6" t="s">
        <v>11</v>
      </c>
      <c r="C10" s="6" t="s">
        <v>45</v>
      </c>
      <c r="D10" s="7" t="s">
        <v>49</v>
      </c>
      <c r="E10" s="7" t="s">
        <v>14</v>
      </c>
      <c r="F10" s="8">
        <v>38407.0</v>
      </c>
      <c r="G10" s="8">
        <v>40300.0</v>
      </c>
      <c r="H10" s="9">
        <v>5.19</v>
      </c>
      <c r="I10" s="6" t="s">
        <v>50</v>
      </c>
      <c r="J10" s="10"/>
    </row>
    <row r="11" ht="12.75" customHeight="1">
      <c r="A11" s="6" t="s">
        <v>51</v>
      </c>
      <c r="B11" s="6" t="s">
        <v>22</v>
      </c>
      <c r="C11" s="6" t="s">
        <v>45</v>
      </c>
      <c r="D11" s="7" t="s">
        <v>52</v>
      </c>
      <c r="E11" s="7" t="s">
        <v>53</v>
      </c>
      <c r="F11" s="8">
        <v>38489.0</v>
      </c>
      <c r="G11" s="8">
        <v>43027.0</v>
      </c>
      <c r="H11" s="9">
        <v>12.42</v>
      </c>
      <c r="I11" s="6" t="s">
        <v>54</v>
      </c>
      <c r="J11" s="10"/>
    </row>
    <row r="12" ht="12.75" customHeight="1">
      <c r="A12" s="6" t="s">
        <v>55</v>
      </c>
      <c r="B12" s="6" t="s">
        <v>56</v>
      </c>
      <c r="C12" s="6" t="s">
        <v>45</v>
      </c>
      <c r="D12" s="7" t="s">
        <v>57</v>
      </c>
      <c r="E12" s="7" t="s">
        <v>58</v>
      </c>
      <c r="F12" s="8">
        <v>38476.0</v>
      </c>
      <c r="G12" s="8">
        <v>39799.0</v>
      </c>
      <c r="H12" s="9">
        <v>3.62</v>
      </c>
      <c r="I12" s="6" t="s">
        <v>59</v>
      </c>
      <c r="J12" s="10"/>
    </row>
    <row r="13" ht="12.75" customHeight="1">
      <c r="A13" s="6" t="s">
        <v>60</v>
      </c>
      <c r="B13" s="6" t="s">
        <v>61</v>
      </c>
      <c r="C13" s="6" t="s">
        <v>45</v>
      </c>
      <c r="D13" s="7" t="s">
        <v>62</v>
      </c>
      <c r="E13" s="7" t="s">
        <v>63</v>
      </c>
      <c r="F13" s="8">
        <v>38471.0</v>
      </c>
      <c r="G13" s="8">
        <v>42348.0</v>
      </c>
      <c r="H13" s="9">
        <v>10.61</v>
      </c>
      <c r="I13" s="6" t="s">
        <v>64</v>
      </c>
      <c r="J13" s="10"/>
    </row>
    <row r="14" ht="12.75" hidden="1" customHeight="1">
      <c r="A14" s="6" t="s">
        <v>65</v>
      </c>
      <c r="B14" s="11"/>
      <c r="C14" s="12" t="s">
        <v>66</v>
      </c>
      <c r="D14" s="7" t="s">
        <v>67</v>
      </c>
      <c r="E14" s="7" t="s">
        <v>14</v>
      </c>
      <c r="F14" s="8">
        <v>38475.0</v>
      </c>
      <c r="G14" s="8">
        <v>38775.0</v>
      </c>
      <c r="H14" s="9">
        <v>0.82</v>
      </c>
      <c r="I14" s="6" t="s">
        <v>68</v>
      </c>
      <c r="J14" s="10"/>
    </row>
    <row r="15" ht="12.75" customHeight="1">
      <c r="A15" s="6" t="s">
        <v>69</v>
      </c>
      <c r="B15" s="11"/>
      <c r="C15" s="6" t="s">
        <v>45</v>
      </c>
      <c r="D15" s="7" t="s">
        <v>70</v>
      </c>
      <c r="E15" s="7" t="s">
        <v>71</v>
      </c>
      <c r="F15" s="8">
        <v>38470.0</v>
      </c>
      <c r="G15" s="8">
        <v>42775.0</v>
      </c>
      <c r="H15" s="9">
        <v>11.78</v>
      </c>
      <c r="I15" s="6" t="s">
        <v>72</v>
      </c>
      <c r="J15" s="10"/>
    </row>
    <row r="16" ht="12.75" customHeight="1">
      <c r="A16" s="6" t="s">
        <v>73</v>
      </c>
      <c r="B16" s="6" t="s">
        <v>22</v>
      </c>
      <c r="C16" s="6" t="s">
        <v>45</v>
      </c>
      <c r="D16" s="7" t="s">
        <v>74</v>
      </c>
      <c r="E16" s="7" t="s">
        <v>19</v>
      </c>
      <c r="F16" s="8">
        <v>38474.0</v>
      </c>
      <c r="G16" s="8">
        <v>39988.0</v>
      </c>
      <c r="H16" s="9">
        <v>4.14</v>
      </c>
      <c r="I16" s="6" t="s">
        <v>75</v>
      </c>
      <c r="J16" s="10"/>
    </row>
    <row r="17" ht="12.75" customHeight="1">
      <c r="A17" s="6" t="s">
        <v>76</v>
      </c>
      <c r="B17" s="11"/>
      <c r="C17" s="13" t="s">
        <v>77</v>
      </c>
      <c r="D17" s="7" t="s">
        <v>78</v>
      </c>
      <c r="E17" s="7" t="s">
        <v>79</v>
      </c>
      <c r="F17" s="8">
        <v>38468.0</v>
      </c>
      <c r="G17" s="8">
        <v>39343.0</v>
      </c>
      <c r="H17" s="9">
        <v>2.39</v>
      </c>
      <c r="I17" s="6" t="s">
        <v>80</v>
      </c>
      <c r="J17" s="5" t="s">
        <v>81</v>
      </c>
    </row>
    <row r="18" ht="12.75" customHeight="1">
      <c r="A18" s="14" t="s">
        <v>82</v>
      </c>
      <c r="B18" s="14" t="s">
        <v>56</v>
      </c>
      <c r="C18" s="6" t="s">
        <v>45</v>
      </c>
      <c r="D18" s="15" t="s">
        <v>83</v>
      </c>
      <c r="E18" s="15" t="s">
        <v>19</v>
      </c>
      <c r="F18" s="16">
        <v>38519.0</v>
      </c>
      <c r="G18" s="16">
        <v>40519.0</v>
      </c>
      <c r="H18" s="17">
        <f t="shared" ref="H18:H479" si="1">YEARFRAC(F18,G18)</f>
        <v>5.475</v>
      </c>
      <c r="I18" s="14" t="s">
        <v>84</v>
      </c>
      <c r="J18" s="10"/>
    </row>
    <row r="19" ht="12.75" customHeight="1">
      <c r="A19" s="14" t="s">
        <v>85</v>
      </c>
      <c r="B19" s="14" t="s">
        <v>56</v>
      </c>
      <c r="C19" s="6" t="s">
        <v>45</v>
      </c>
      <c r="D19" s="15" t="s">
        <v>86</v>
      </c>
      <c r="E19" s="15" t="s">
        <v>19</v>
      </c>
      <c r="F19" s="16">
        <v>38519.0</v>
      </c>
      <c r="G19" s="16">
        <v>41206.0</v>
      </c>
      <c r="H19" s="17">
        <f t="shared" si="1"/>
        <v>7.355555556</v>
      </c>
      <c r="I19" s="14" t="s">
        <v>87</v>
      </c>
      <c r="J19" s="18"/>
    </row>
    <row r="20" ht="15.75" customHeight="1">
      <c r="A20" s="14" t="s">
        <v>88</v>
      </c>
      <c r="B20" s="19" t="s">
        <v>61</v>
      </c>
      <c r="C20" s="6" t="s">
        <v>45</v>
      </c>
      <c r="D20" s="20" t="s">
        <v>89</v>
      </c>
      <c r="E20" s="20" t="s">
        <v>53</v>
      </c>
      <c r="F20" s="16">
        <v>38520.0</v>
      </c>
      <c r="G20" s="16">
        <v>39168.0</v>
      </c>
      <c r="H20" s="20">
        <f t="shared" si="1"/>
        <v>1.777777778</v>
      </c>
      <c r="I20" s="20" t="s">
        <v>90</v>
      </c>
    </row>
    <row r="21" ht="15.75" customHeight="1">
      <c r="A21" s="14" t="s">
        <v>91</v>
      </c>
      <c r="B21" s="19" t="s">
        <v>27</v>
      </c>
      <c r="C21" s="6" t="s">
        <v>45</v>
      </c>
      <c r="D21" s="20" t="s">
        <v>92</v>
      </c>
      <c r="E21" s="20" t="s">
        <v>34</v>
      </c>
      <c r="F21" s="16">
        <v>38519.0</v>
      </c>
      <c r="G21" s="16">
        <v>41470.0</v>
      </c>
      <c r="H21" s="20">
        <f t="shared" si="1"/>
        <v>8.080555556</v>
      </c>
      <c r="I21" s="20" t="s">
        <v>93</v>
      </c>
    </row>
    <row r="22" ht="15.75" customHeight="1">
      <c r="A22" s="14" t="s">
        <v>94</v>
      </c>
      <c r="B22" s="19" t="s">
        <v>22</v>
      </c>
      <c r="C22" s="6" t="s">
        <v>45</v>
      </c>
      <c r="D22" s="20" t="s">
        <v>95</v>
      </c>
      <c r="E22" s="20" t="s">
        <v>38</v>
      </c>
      <c r="F22" s="16">
        <v>38519.0</v>
      </c>
      <c r="G22" s="16">
        <v>41836.0</v>
      </c>
      <c r="H22" s="20">
        <f t="shared" si="1"/>
        <v>9.083333333</v>
      </c>
      <c r="I22" s="20" t="s">
        <v>96</v>
      </c>
    </row>
    <row r="23" ht="15.75" customHeight="1">
      <c r="A23" s="14" t="s">
        <v>97</v>
      </c>
      <c r="B23" s="19" t="s">
        <v>98</v>
      </c>
      <c r="C23" s="13" t="s">
        <v>99</v>
      </c>
      <c r="D23" s="20" t="s">
        <v>100</v>
      </c>
      <c r="E23" s="20" t="s">
        <v>101</v>
      </c>
      <c r="F23" s="16">
        <v>38527.0</v>
      </c>
      <c r="G23" s="16">
        <v>39331.0</v>
      </c>
      <c r="H23" s="20">
        <f t="shared" si="1"/>
        <v>2.2</v>
      </c>
      <c r="I23" s="20" t="s">
        <v>102</v>
      </c>
      <c r="J23" s="5" t="s">
        <v>103</v>
      </c>
    </row>
    <row r="24" ht="15.75" customHeight="1">
      <c r="A24" s="14" t="s">
        <v>104</v>
      </c>
      <c r="B24" s="19" t="s">
        <v>22</v>
      </c>
      <c r="C24" s="6" t="s">
        <v>45</v>
      </c>
      <c r="D24" s="20" t="s">
        <v>105</v>
      </c>
      <c r="E24" s="20" t="s">
        <v>38</v>
      </c>
      <c r="F24" s="16">
        <v>38586.0</v>
      </c>
      <c r="G24" s="16">
        <v>39535.0</v>
      </c>
      <c r="H24" s="20">
        <f t="shared" si="1"/>
        <v>2.6</v>
      </c>
      <c r="I24" s="20" t="s">
        <v>106</v>
      </c>
    </row>
    <row r="25" ht="15.75" customHeight="1">
      <c r="A25" s="14" t="s">
        <v>107</v>
      </c>
      <c r="B25" s="19" t="s">
        <v>22</v>
      </c>
      <c r="C25" s="6" t="s">
        <v>45</v>
      </c>
      <c r="D25" s="20" t="s">
        <v>108</v>
      </c>
      <c r="E25" s="20" t="s">
        <v>38</v>
      </c>
      <c r="F25" s="16">
        <v>38586.0</v>
      </c>
      <c r="G25" s="16">
        <v>39217.0</v>
      </c>
      <c r="H25" s="20">
        <f t="shared" si="1"/>
        <v>1.730555556</v>
      </c>
      <c r="I25" s="20" t="s">
        <v>109</v>
      </c>
    </row>
    <row r="26" ht="15.75" customHeight="1">
      <c r="A26" s="14" t="s">
        <v>110</v>
      </c>
      <c r="B26" s="19" t="s">
        <v>111</v>
      </c>
      <c r="C26" s="19" t="s">
        <v>112</v>
      </c>
      <c r="D26" s="20" t="s">
        <v>113</v>
      </c>
      <c r="E26" s="20" t="s">
        <v>24</v>
      </c>
      <c r="F26" s="16">
        <v>38581.0</v>
      </c>
      <c r="G26" s="16">
        <v>39898.0</v>
      </c>
      <c r="H26" s="20">
        <f t="shared" si="1"/>
        <v>3.608333333</v>
      </c>
      <c r="I26" s="20" t="s">
        <v>114</v>
      </c>
    </row>
    <row r="27" ht="15.75" customHeight="1">
      <c r="A27" s="14" t="s">
        <v>115</v>
      </c>
      <c r="B27" s="19" t="s">
        <v>116</v>
      </c>
      <c r="C27" s="19" t="s">
        <v>112</v>
      </c>
      <c r="D27" s="20" t="s">
        <v>117</v>
      </c>
      <c r="E27" s="20" t="s">
        <v>14</v>
      </c>
      <c r="F27" s="16">
        <v>38601.0</v>
      </c>
      <c r="G27" s="16">
        <v>41375.0</v>
      </c>
      <c r="H27" s="20">
        <f t="shared" si="1"/>
        <v>7.597222222</v>
      </c>
      <c r="I27" s="20" t="s">
        <v>118</v>
      </c>
    </row>
    <row r="28" ht="15.75" customHeight="1">
      <c r="A28" s="14" t="s">
        <v>119</v>
      </c>
      <c r="B28" s="19" t="s">
        <v>98</v>
      </c>
      <c r="C28" s="19" t="s">
        <v>112</v>
      </c>
      <c r="D28" s="20" t="s">
        <v>120</v>
      </c>
      <c r="E28" s="20" t="s">
        <v>63</v>
      </c>
      <c r="F28" s="16">
        <v>38580.0</v>
      </c>
      <c r="G28" s="16">
        <v>39482.0</v>
      </c>
      <c r="H28" s="20">
        <f t="shared" si="1"/>
        <v>2.466666667</v>
      </c>
      <c r="I28" s="20" t="s">
        <v>121</v>
      </c>
    </row>
    <row r="29" ht="15.75" customHeight="1">
      <c r="A29" s="14" t="s">
        <v>122</v>
      </c>
      <c r="B29" s="19" t="s">
        <v>116</v>
      </c>
      <c r="C29" s="19" t="s">
        <v>112</v>
      </c>
      <c r="D29" s="20" t="s">
        <v>123</v>
      </c>
      <c r="E29" s="20" t="s">
        <v>124</v>
      </c>
      <c r="F29" s="16">
        <v>38576.0</v>
      </c>
      <c r="G29" s="16">
        <v>41199.0</v>
      </c>
      <c r="H29" s="20">
        <f t="shared" si="1"/>
        <v>7.180555556</v>
      </c>
      <c r="I29" s="20" t="s">
        <v>125</v>
      </c>
    </row>
    <row r="30" ht="15.75" customHeight="1">
      <c r="A30" s="14" t="s">
        <v>126</v>
      </c>
      <c r="B30" s="19" t="s">
        <v>116</v>
      </c>
      <c r="C30" s="19" t="s">
        <v>112</v>
      </c>
      <c r="D30" s="20" t="s">
        <v>127</v>
      </c>
      <c r="E30" s="20" t="s">
        <v>128</v>
      </c>
      <c r="F30" s="16">
        <v>38652.0</v>
      </c>
      <c r="G30" s="16">
        <v>40645.0</v>
      </c>
      <c r="H30" s="20">
        <f t="shared" si="1"/>
        <v>5.458333333</v>
      </c>
      <c r="I30" s="20" t="s">
        <v>129</v>
      </c>
    </row>
    <row r="31" ht="15.75" customHeight="1">
      <c r="A31" s="14" t="s">
        <v>130</v>
      </c>
      <c r="B31" s="19" t="s">
        <v>22</v>
      </c>
      <c r="C31" s="21" t="s">
        <v>77</v>
      </c>
      <c r="D31" s="20" t="s">
        <v>131</v>
      </c>
      <c r="E31" s="20" t="s">
        <v>132</v>
      </c>
      <c r="F31" s="16">
        <v>38660.0</v>
      </c>
      <c r="G31" s="16">
        <v>39498.0</v>
      </c>
      <c r="H31" s="20">
        <f t="shared" si="1"/>
        <v>2.294444444</v>
      </c>
      <c r="I31" s="20" t="s">
        <v>133</v>
      </c>
      <c r="J31" s="5" t="s">
        <v>134</v>
      </c>
    </row>
    <row r="32" ht="15.75" customHeight="1">
      <c r="A32" s="14" t="s">
        <v>135</v>
      </c>
      <c r="B32" s="19" t="s">
        <v>22</v>
      </c>
      <c r="C32" s="6" t="s">
        <v>45</v>
      </c>
      <c r="D32" s="20" t="s">
        <v>136</v>
      </c>
      <c r="E32" s="20" t="s">
        <v>38</v>
      </c>
      <c r="F32" s="16">
        <v>38656.0</v>
      </c>
      <c r="G32" s="16">
        <v>39280.0</v>
      </c>
      <c r="H32" s="20">
        <f t="shared" si="1"/>
        <v>1.713888889</v>
      </c>
      <c r="I32" s="20" t="s">
        <v>137</v>
      </c>
    </row>
    <row r="33" ht="15.75" customHeight="1">
      <c r="A33" s="14" t="s">
        <v>138</v>
      </c>
      <c r="B33" s="19" t="s">
        <v>27</v>
      </c>
      <c r="C33" s="6" t="s">
        <v>45</v>
      </c>
      <c r="D33" s="20" t="s">
        <v>139</v>
      </c>
      <c r="E33" s="20" t="s">
        <v>140</v>
      </c>
      <c r="F33" s="16">
        <v>38663.0</v>
      </c>
      <c r="G33" s="16">
        <v>41141.0</v>
      </c>
      <c r="H33" s="20">
        <f t="shared" si="1"/>
        <v>6.786111111</v>
      </c>
      <c r="I33" s="20" t="s">
        <v>141</v>
      </c>
    </row>
    <row r="34" ht="15.75" customHeight="1">
      <c r="A34" s="14" t="s">
        <v>142</v>
      </c>
      <c r="B34" s="19" t="s">
        <v>116</v>
      </c>
      <c r="C34" s="6" t="s">
        <v>45</v>
      </c>
      <c r="D34" s="20" t="s">
        <v>143</v>
      </c>
      <c r="E34" s="20" t="s">
        <v>19</v>
      </c>
      <c r="F34" s="16">
        <v>38650.0</v>
      </c>
      <c r="G34" s="16">
        <v>40771.0</v>
      </c>
      <c r="H34" s="20">
        <f t="shared" si="1"/>
        <v>5.808333333</v>
      </c>
      <c r="I34" s="20" t="s">
        <v>144</v>
      </c>
    </row>
    <row r="35" ht="15.75" customHeight="1">
      <c r="A35" s="14" t="s">
        <v>145</v>
      </c>
      <c r="B35" s="21" t="s">
        <v>146</v>
      </c>
      <c r="C35" s="6" t="s">
        <v>45</v>
      </c>
      <c r="D35" s="20" t="s">
        <v>147</v>
      </c>
      <c r="E35" s="20" t="s">
        <v>128</v>
      </c>
      <c r="F35" s="16">
        <v>38656.0</v>
      </c>
      <c r="G35" s="16">
        <v>39155.0</v>
      </c>
      <c r="H35" s="20">
        <f t="shared" si="1"/>
        <v>1.372222222</v>
      </c>
      <c r="I35" s="5" t="s">
        <v>148</v>
      </c>
    </row>
    <row r="36" ht="15.75" customHeight="1">
      <c r="A36" s="14" t="s">
        <v>149</v>
      </c>
      <c r="B36" s="19" t="s">
        <v>22</v>
      </c>
      <c r="C36" s="6" t="s">
        <v>45</v>
      </c>
      <c r="D36" s="20" t="s">
        <v>150</v>
      </c>
      <c r="E36" s="20" t="s">
        <v>38</v>
      </c>
      <c r="F36" s="16">
        <v>38646.0</v>
      </c>
      <c r="G36" s="16">
        <v>39612.0</v>
      </c>
      <c r="H36" s="20">
        <f t="shared" si="1"/>
        <v>2.644444444</v>
      </c>
      <c r="I36" s="20" t="s">
        <v>151</v>
      </c>
    </row>
    <row r="37" ht="12.75" customHeight="1">
      <c r="A37" s="14" t="s">
        <v>152</v>
      </c>
      <c r="B37" s="21" t="s">
        <v>146</v>
      </c>
      <c r="C37" s="6" t="s">
        <v>45</v>
      </c>
      <c r="D37" s="20" t="s">
        <v>153</v>
      </c>
      <c r="E37" s="15" t="s">
        <v>124</v>
      </c>
      <c r="F37" s="16">
        <v>38699.0</v>
      </c>
      <c r="G37" s="16">
        <v>43117.0</v>
      </c>
      <c r="H37" s="17">
        <f t="shared" si="1"/>
        <v>12.09444444</v>
      </c>
      <c r="I37" s="14" t="s">
        <v>154</v>
      </c>
      <c r="J37" s="18"/>
    </row>
    <row r="38" ht="12.75" customHeight="1">
      <c r="A38" s="14" t="s">
        <v>155</v>
      </c>
      <c r="B38" s="14" t="s">
        <v>56</v>
      </c>
      <c r="C38" s="6" t="s">
        <v>45</v>
      </c>
      <c r="D38" s="14" t="s">
        <v>156</v>
      </c>
      <c r="E38" s="14" t="s">
        <v>42</v>
      </c>
      <c r="F38" s="16">
        <v>38664.0</v>
      </c>
      <c r="G38" s="16">
        <v>42272.0</v>
      </c>
      <c r="H38" s="17">
        <f t="shared" si="1"/>
        <v>9.880555556</v>
      </c>
      <c r="I38" s="14" t="s">
        <v>157</v>
      </c>
      <c r="J38" s="18"/>
    </row>
    <row r="39" ht="15.75" customHeight="1">
      <c r="A39" s="14" t="s">
        <v>158</v>
      </c>
      <c r="B39" s="19" t="s">
        <v>27</v>
      </c>
      <c r="C39" s="6" t="s">
        <v>45</v>
      </c>
      <c r="D39" s="20" t="s">
        <v>159</v>
      </c>
      <c r="E39" s="20" t="s">
        <v>160</v>
      </c>
      <c r="F39" s="16">
        <v>38653.0</v>
      </c>
      <c r="G39" s="16">
        <v>41492.0</v>
      </c>
      <c r="H39" s="20">
        <f t="shared" si="1"/>
        <v>7.772222222</v>
      </c>
      <c r="I39" s="20" t="s">
        <v>161</v>
      </c>
    </row>
    <row r="40" ht="15.75" customHeight="1">
      <c r="A40" s="14" t="s">
        <v>162</v>
      </c>
      <c r="B40" s="19" t="s">
        <v>27</v>
      </c>
      <c r="C40" s="6" t="s">
        <v>45</v>
      </c>
      <c r="D40" s="20" t="s">
        <v>163</v>
      </c>
      <c r="E40" s="20" t="s">
        <v>164</v>
      </c>
      <c r="F40" s="16">
        <v>38693.0</v>
      </c>
      <c r="G40" s="16">
        <v>40745.0</v>
      </c>
      <c r="H40" s="20">
        <f t="shared" si="1"/>
        <v>5.622222222</v>
      </c>
      <c r="I40" s="20" t="s">
        <v>165</v>
      </c>
    </row>
    <row r="41" ht="15.75" customHeight="1">
      <c r="A41" s="14" t="s">
        <v>166</v>
      </c>
      <c r="B41" s="19" t="s">
        <v>27</v>
      </c>
      <c r="C41" s="6" t="s">
        <v>45</v>
      </c>
      <c r="D41" s="20" t="s">
        <v>167</v>
      </c>
      <c r="E41" s="20" t="s">
        <v>140</v>
      </c>
      <c r="F41" s="16">
        <v>38743.0</v>
      </c>
      <c r="G41" s="16">
        <v>40861.0</v>
      </c>
      <c r="H41" s="20">
        <f t="shared" si="1"/>
        <v>5.8</v>
      </c>
      <c r="I41" s="20" t="s">
        <v>168</v>
      </c>
    </row>
    <row r="42" ht="15.75" customHeight="1">
      <c r="A42" s="14" t="s">
        <v>169</v>
      </c>
      <c r="B42" s="19" t="s">
        <v>22</v>
      </c>
      <c r="C42" s="6" t="s">
        <v>45</v>
      </c>
      <c r="D42" s="20" t="s">
        <v>170</v>
      </c>
      <c r="E42" s="20" t="s">
        <v>160</v>
      </c>
      <c r="F42" s="16">
        <v>38698.0</v>
      </c>
      <c r="G42" s="16">
        <v>39891.0</v>
      </c>
      <c r="H42" s="20">
        <f t="shared" si="1"/>
        <v>3.269444444</v>
      </c>
      <c r="I42" s="20" t="s">
        <v>171</v>
      </c>
    </row>
    <row r="43" ht="15.75" hidden="1" customHeight="1">
      <c r="A43" s="14" t="s">
        <v>172</v>
      </c>
      <c r="B43" s="19" t="s">
        <v>27</v>
      </c>
      <c r="C43" s="12" t="s">
        <v>66</v>
      </c>
      <c r="D43" s="20" t="s">
        <v>173</v>
      </c>
      <c r="E43" s="20" t="s">
        <v>140</v>
      </c>
      <c r="F43" s="16">
        <v>39789.0</v>
      </c>
      <c r="G43" s="16">
        <v>39994.0</v>
      </c>
      <c r="H43" s="20">
        <f t="shared" si="1"/>
        <v>0.5638888889</v>
      </c>
      <c r="I43" s="20" t="s">
        <v>174</v>
      </c>
    </row>
    <row r="44" ht="15.75" customHeight="1">
      <c r="A44" s="14" t="s">
        <v>175</v>
      </c>
      <c r="B44" s="21" t="s">
        <v>146</v>
      </c>
      <c r="C44" s="6" t="s">
        <v>45</v>
      </c>
      <c r="D44" s="20" t="s">
        <v>176</v>
      </c>
      <c r="E44" s="20" t="s">
        <v>177</v>
      </c>
      <c r="F44" s="16">
        <v>38692.0</v>
      </c>
      <c r="G44" s="16">
        <v>39940.0</v>
      </c>
      <c r="H44" s="20">
        <f t="shared" si="1"/>
        <v>3.419444444</v>
      </c>
      <c r="I44" s="20" t="s">
        <v>178</v>
      </c>
    </row>
    <row r="45" ht="12.75" customHeight="1">
      <c r="A45" s="14" t="s">
        <v>179</v>
      </c>
      <c r="B45" s="14" t="s">
        <v>56</v>
      </c>
      <c r="C45" s="6" t="s">
        <v>45</v>
      </c>
      <c r="D45" s="14" t="s">
        <v>180</v>
      </c>
      <c r="E45" s="14" t="s">
        <v>34</v>
      </c>
      <c r="F45" s="16">
        <v>38705.0</v>
      </c>
      <c r="G45" s="16">
        <v>41877.0</v>
      </c>
      <c r="H45" s="17">
        <f t="shared" si="1"/>
        <v>8.686111111</v>
      </c>
      <c r="I45" s="14" t="s">
        <v>181</v>
      </c>
      <c r="J45" s="18"/>
    </row>
    <row r="46" ht="15.75" customHeight="1">
      <c r="A46" s="14" t="s">
        <v>182</v>
      </c>
      <c r="B46" s="19" t="s">
        <v>27</v>
      </c>
      <c r="C46" s="6" t="s">
        <v>45</v>
      </c>
      <c r="D46" s="20" t="s">
        <v>183</v>
      </c>
      <c r="E46" s="20" t="s">
        <v>184</v>
      </c>
      <c r="F46" s="16">
        <v>38769.0</v>
      </c>
      <c r="G46" s="16">
        <v>39938.0</v>
      </c>
      <c r="H46" s="20">
        <f t="shared" si="1"/>
        <v>3.205555556</v>
      </c>
      <c r="I46" s="20" t="s">
        <v>185</v>
      </c>
    </row>
    <row r="47" ht="15.75" customHeight="1">
      <c r="A47" s="14" t="s">
        <v>186</v>
      </c>
      <c r="B47" s="19" t="s">
        <v>111</v>
      </c>
      <c r="C47" s="6" t="s">
        <v>45</v>
      </c>
      <c r="D47" s="20" t="s">
        <v>187</v>
      </c>
      <c r="E47" s="20" t="s">
        <v>188</v>
      </c>
      <c r="F47" s="16">
        <v>38764.0</v>
      </c>
      <c r="G47" s="16">
        <v>40119.0</v>
      </c>
      <c r="H47" s="20">
        <f t="shared" si="1"/>
        <v>3.711111111</v>
      </c>
      <c r="I47" s="20" t="s">
        <v>189</v>
      </c>
    </row>
    <row r="48" ht="15.75" customHeight="1">
      <c r="A48" s="14" t="s">
        <v>190</v>
      </c>
      <c r="B48" s="19" t="s">
        <v>27</v>
      </c>
      <c r="C48" s="6" t="s">
        <v>45</v>
      </c>
      <c r="D48" s="20" t="s">
        <v>191</v>
      </c>
      <c r="E48" s="20" t="s">
        <v>63</v>
      </c>
      <c r="F48" s="16">
        <v>38764.0</v>
      </c>
      <c r="G48" s="16">
        <v>41521.0</v>
      </c>
      <c r="H48" s="20">
        <f t="shared" si="1"/>
        <v>7.55</v>
      </c>
      <c r="I48" s="20" t="s">
        <v>192</v>
      </c>
    </row>
    <row r="49" ht="15.75" customHeight="1">
      <c r="A49" s="14" t="s">
        <v>193</v>
      </c>
      <c r="B49" s="19" t="s">
        <v>27</v>
      </c>
      <c r="C49" s="6" t="s">
        <v>45</v>
      </c>
      <c r="D49" s="20" t="s">
        <v>57</v>
      </c>
      <c r="E49" s="20" t="s">
        <v>58</v>
      </c>
      <c r="F49" s="16">
        <v>38772.0</v>
      </c>
      <c r="G49" s="16">
        <v>40112.0</v>
      </c>
      <c r="H49" s="20">
        <f t="shared" si="1"/>
        <v>3.672222222</v>
      </c>
      <c r="I49" s="20" t="s">
        <v>194</v>
      </c>
    </row>
    <row r="50" ht="15.75" customHeight="1">
      <c r="A50" s="14" t="s">
        <v>195</v>
      </c>
      <c r="B50" s="19" t="s">
        <v>61</v>
      </c>
      <c r="C50" s="6" t="s">
        <v>45</v>
      </c>
      <c r="D50" s="20" t="s">
        <v>196</v>
      </c>
      <c r="E50" s="20" t="s">
        <v>38</v>
      </c>
      <c r="F50" s="16">
        <v>38761.0</v>
      </c>
      <c r="G50" s="16">
        <v>40268.0</v>
      </c>
      <c r="H50" s="20">
        <f t="shared" si="1"/>
        <v>4.133333333</v>
      </c>
      <c r="I50" s="20" t="s">
        <v>197</v>
      </c>
    </row>
    <row r="51" ht="15.75" customHeight="1">
      <c r="A51" s="14" t="s">
        <v>198</v>
      </c>
      <c r="B51" s="19" t="s">
        <v>27</v>
      </c>
      <c r="C51" s="6" t="s">
        <v>45</v>
      </c>
      <c r="D51" s="20" t="s">
        <v>136</v>
      </c>
      <c r="E51" s="20" t="s">
        <v>38</v>
      </c>
      <c r="F51" s="16">
        <v>38772.0</v>
      </c>
      <c r="G51" s="16">
        <v>39279.0</v>
      </c>
      <c r="H51" s="20">
        <f t="shared" si="1"/>
        <v>1.394444444</v>
      </c>
      <c r="I51" s="20" t="s">
        <v>199</v>
      </c>
    </row>
    <row r="52" ht="15.75" customHeight="1">
      <c r="A52" s="14" t="s">
        <v>200</v>
      </c>
      <c r="B52" s="19" t="s">
        <v>22</v>
      </c>
      <c r="C52" s="6" t="s">
        <v>45</v>
      </c>
      <c r="D52" s="20" t="s">
        <v>201</v>
      </c>
      <c r="E52" s="20" t="s">
        <v>19</v>
      </c>
      <c r="F52" s="16">
        <v>38771.0</v>
      </c>
      <c r="G52" s="16">
        <v>39953.0</v>
      </c>
      <c r="H52" s="20">
        <f t="shared" si="1"/>
        <v>3.241666667</v>
      </c>
      <c r="I52" s="20" t="s">
        <v>202</v>
      </c>
    </row>
    <row r="53" ht="15.75" customHeight="1">
      <c r="A53" s="14" t="s">
        <v>203</v>
      </c>
      <c r="B53" s="19" t="s">
        <v>27</v>
      </c>
      <c r="C53" s="6" t="s">
        <v>45</v>
      </c>
      <c r="D53" s="20" t="s">
        <v>204</v>
      </c>
      <c r="E53" s="20" t="s">
        <v>205</v>
      </c>
      <c r="F53" s="16">
        <v>38777.0</v>
      </c>
      <c r="G53" s="16">
        <v>42011.0</v>
      </c>
      <c r="H53" s="20">
        <f t="shared" si="1"/>
        <v>8.85</v>
      </c>
      <c r="I53" s="20" t="s">
        <v>206</v>
      </c>
    </row>
    <row r="54" ht="15.75" customHeight="1">
      <c r="A54" s="14" t="s">
        <v>207</v>
      </c>
      <c r="B54" s="19" t="s">
        <v>111</v>
      </c>
      <c r="C54" s="6" t="s">
        <v>45</v>
      </c>
      <c r="D54" s="20" t="s">
        <v>208</v>
      </c>
      <c r="E54" s="20" t="s">
        <v>209</v>
      </c>
      <c r="F54" s="16">
        <v>38761.0</v>
      </c>
      <c r="G54" s="16">
        <v>40527.0</v>
      </c>
      <c r="H54" s="20">
        <f t="shared" si="1"/>
        <v>4.838888889</v>
      </c>
      <c r="I54" s="20" t="s">
        <v>210</v>
      </c>
    </row>
    <row r="55" ht="15.75" customHeight="1">
      <c r="A55" s="14" t="s">
        <v>211</v>
      </c>
      <c r="B55" s="19" t="s">
        <v>22</v>
      </c>
      <c r="C55" s="6" t="s">
        <v>45</v>
      </c>
      <c r="D55" s="20" t="s">
        <v>105</v>
      </c>
      <c r="E55" s="20" t="s">
        <v>38</v>
      </c>
      <c r="F55" s="16">
        <v>38825.0</v>
      </c>
      <c r="G55" s="16">
        <v>40170.0</v>
      </c>
      <c r="H55" s="20">
        <f t="shared" si="1"/>
        <v>3.680555556</v>
      </c>
      <c r="I55" s="20" t="s">
        <v>212</v>
      </c>
    </row>
    <row r="56" ht="12.75" customHeight="1">
      <c r="A56" s="14" t="s">
        <v>213</v>
      </c>
      <c r="B56" s="14" t="s">
        <v>56</v>
      </c>
      <c r="C56" s="6" t="s">
        <v>45</v>
      </c>
      <c r="D56" s="14" t="s">
        <v>214</v>
      </c>
      <c r="E56" s="14" t="s">
        <v>58</v>
      </c>
      <c r="F56" s="16">
        <v>38824.0</v>
      </c>
      <c r="G56" s="16">
        <v>41148.0</v>
      </c>
      <c r="H56" s="17">
        <f t="shared" si="1"/>
        <v>6.361111111</v>
      </c>
      <c r="I56" s="14" t="s">
        <v>215</v>
      </c>
      <c r="J56" s="18"/>
    </row>
    <row r="57" ht="15.75" customHeight="1">
      <c r="A57" s="14" t="s">
        <v>216</v>
      </c>
      <c r="B57" s="19" t="s">
        <v>27</v>
      </c>
      <c r="C57" s="6" t="s">
        <v>45</v>
      </c>
      <c r="D57" s="20" t="s">
        <v>217</v>
      </c>
      <c r="E57" s="20" t="s">
        <v>218</v>
      </c>
      <c r="F57" s="16">
        <v>38831.0</v>
      </c>
      <c r="G57" s="16">
        <v>40815.0</v>
      </c>
      <c r="H57" s="20">
        <f t="shared" si="1"/>
        <v>5.430555556</v>
      </c>
      <c r="I57" s="20" t="s">
        <v>219</v>
      </c>
    </row>
    <row r="58" ht="15.75" customHeight="1">
      <c r="A58" s="14" t="s">
        <v>220</v>
      </c>
      <c r="B58" s="19" t="s">
        <v>22</v>
      </c>
      <c r="C58" s="6" t="s">
        <v>45</v>
      </c>
      <c r="D58" s="20" t="s">
        <v>170</v>
      </c>
      <c r="E58" s="20" t="s">
        <v>160</v>
      </c>
      <c r="F58" s="16">
        <v>38824.0</v>
      </c>
      <c r="G58" s="16">
        <v>39819.0</v>
      </c>
      <c r="H58" s="20">
        <f t="shared" si="1"/>
        <v>2.719444444</v>
      </c>
      <c r="I58" s="20" t="s">
        <v>221</v>
      </c>
    </row>
    <row r="59" ht="15.75" hidden="1" customHeight="1">
      <c r="A59" s="14" t="s">
        <v>222</v>
      </c>
      <c r="B59" s="14"/>
      <c r="C59" s="12" t="s">
        <v>66</v>
      </c>
      <c r="D59" s="20" t="s">
        <v>223</v>
      </c>
      <c r="E59" s="20" t="s">
        <v>38</v>
      </c>
      <c r="F59" s="16">
        <v>38826.0</v>
      </c>
      <c r="G59" s="16">
        <v>38891.0</v>
      </c>
      <c r="H59" s="20">
        <f t="shared" si="1"/>
        <v>0.1777777778</v>
      </c>
      <c r="I59" s="20" t="s">
        <v>224</v>
      </c>
    </row>
    <row r="60" ht="15.75" customHeight="1">
      <c r="A60" s="14" t="s">
        <v>225</v>
      </c>
      <c r="B60" s="19" t="s">
        <v>61</v>
      </c>
      <c r="C60" s="6" t="s">
        <v>45</v>
      </c>
      <c r="D60" s="20" t="s">
        <v>226</v>
      </c>
      <c r="E60" s="20" t="s">
        <v>227</v>
      </c>
      <c r="F60" s="16">
        <v>38821.0</v>
      </c>
      <c r="G60" s="16">
        <v>40379.0</v>
      </c>
      <c r="H60" s="20">
        <f t="shared" si="1"/>
        <v>4.266666667</v>
      </c>
      <c r="I60" s="5" t="s">
        <v>228</v>
      </c>
    </row>
    <row r="61" ht="15.75" customHeight="1">
      <c r="A61" s="14" t="s">
        <v>229</v>
      </c>
      <c r="B61" s="14"/>
      <c r="C61" s="21" t="s">
        <v>99</v>
      </c>
      <c r="D61" s="20" t="s">
        <v>230</v>
      </c>
      <c r="E61" s="20" t="s">
        <v>128</v>
      </c>
      <c r="F61" s="16">
        <v>38839.0</v>
      </c>
      <c r="G61" s="16">
        <v>39324.0</v>
      </c>
      <c r="H61" s="20">
        <f t="shared" si="1"/>
        <v>1.327777778</v>
      </c>
      <c r="I61" s="20" t="s">
        <v>231</v>
      </c>
      <c r="J61" s="5" t="s">
        <v>232</v>
      </c>
    </row>
    <row r="62" ht="15.75" customHeight="1">
      <c r="A62" s="14" t="s">
        <v>233</v>
      </c>
      <c r="B62" s="19" t="s">
        <v>27</v>
      </c>
      <c r="C62" s="21" t="s">
        <v>77</v>
      </c>
      <c r="D62" s="20" t="s">
        <v>234</v>
      </c>
      <c r="E62" s="20" t="s">
        <v>14</v>
      </c>
      <c r="F62" s="16">
        <v>38824.0</v>
      </c>
      <c r="G62" s="16">
        <v>40170.0</v>
      </c>
      <c r="H62" s="20">
        <f t="shared" si="1"/>
        <v>3.683333333</v>
      </c>
      <c r="I62" s="20" t="s">
        <v>235</v>
      </c>
      <c r="J62" s="5" t="s">
        <v>236</v>
      </c>
    </row>
    <row r="63" ht="15.75" customHeight="1">
      <c r="A63" s="14" t="s">
        <v>237</v>
      </c>
      <c r="B63" s="19" t="s">
        <v>22</v>
      </c>
      <c r="C63" s="6" t="s">
        <v>45</v>
      </c>
      <c r="D63" s="20" t="s">
        <v>105</v>
      </c>
      <c r="E63" s="20" t="s">
        <v>38</v>
      </c>
      <c r="F63" s="16">
        <v>38825.0</v>
      </c>
      <c r="G63" s="16">
        <v>40014.0</v>
      </c>
      <c r="H63" s="20">
        <f t="shared" si="1"/>
        <v>3.255555556</v>
      </c>
      <c r="I63" s="20" t="s">
        <v>238</v>
      </c>
    </row>
    <row r="64" ht="15.75" customHeight="1">
      <c r="A64" s="14" t="s">
        <v>239</v>
      </c>
      <c r="B64" s="19" t="s">
        <v>27</v>
      </c>
      <c r="C64" s="6" t="s">
        <v>45</v>
      </c>
      <c r="D64" s="20" t="s">
        <v>240</v>
      </c>
      <c r="E64" s="20" t="s">
        <v>241</v>
      </c>
      <c r="F64" s="16">
        <v>38825.0</v>
      </c>
      <c r="G64" s="16">
        <v>41908.0</v>
      </c>
      <c r="H64" s="20">
        <f t="shared" si="1"/>
        <v>8.438888889</v>
      </c>
      <c r="I64" s="20" t="s">
        <v>242</v>
      </c>
    </row>
    <row r="65" ht="12.75" customHeight="1">
      <c r="A65" s="14" t="s">
        <v>243</v>
      </c>
      <c r="B65" s="14" t="s">
        <v>56</v>
      </c>
      <c r="C65" s="19" t="s">
        <v>244</v>
      </c>
      <c r="D65" s="14" t="s">
        <v>245</v>
      </c>
      <c r="E65" s="14" t="s">
        <v>14</v>
      </c>
      <c r="F65" s="16">
        <v>38824.0</v>
      </c>
      <c r="G65" s="16">
        <v>39471.0</v>
      </c>
      <c r="H65" s="17">
        <f t="shared" si="1"/>
        <v>1.769444444</v>
      </c>
      <c r="I65" s="14" t="s">
        <v>246</v>
      </c>
      <c r="J65" s="18"/>
    </row>
    <row r="66" ht="15.75" customHeight="1">
      <c r="A66" s="14" t="s">
        <v>247</v>
      </c>
      <c r="B66" s="19" t="s">
        <v>27</v>
      </c>
      <c r="C66" s="19" t="s">
        <v>112</v>
      </c>
      <c r="D66" s="20" t="s">
        <v>248</v>
      </c>
      <c r="E66" s="20" t="s">
        <v>34</v>
      </c>
      <c r="F66" s="16">
        <v>38889.0</v>
      </c>
      <c r="G66" s="16">
        <v>41583.0</v>
      </c>
      <c r="H66" s="20">
        <f t="shared" si="1"/>
        <v>7.372222222</v>
      </c>
      <c r="I66" s="20" t="s">
        <v>249</v>
      </c>
    </row>
    <row r="67" ht="15.75" customHeight="1">
      <c r="A67" s="14" t="s">
        <v>250</v>
      </c>
      <c r="B67" s="14"/>
      <c r="C67" s="19" t="s">
        <v>112</v>
      </c>
      <c r="D67" s="20" t="s">
        <v>251</v>
      </c>
      <c r="E67" s="20" t="s">
        <v>252</v>
      </c>
      <c r="F67" s="16">
        <v>38888.0</v>
      </c>
      <c r="G67" s="16">
        <v>39631.0</v>
      </c>
      <c r="H67" s="20">
        <f t="shared" si="1"/>
        <v>2.033333333</v>
      </c>
      <c r="I67" s="20" t="s">
        <v>253</v>
      </c>
    </row>
    <row r="68" ht="12.75" customHeight="1">
      <c r="A68" s="14" t="s">
        <v>254</v>
      </c>
      <c r="B68" s="14" t="s">
        <v>56</v>
      </c>
      <c r="C68" s="19" t="s">
        <v>244</v>
      </c>
      <c r="D68" s="14" t="s">
        <v>74</v>
      </c>
      <c r="E68" s="14" t="s">
        <v>19</v>
      </c>
      <c r="F68" s="16">
        <v>38888.0</v>
      </c>
      <c r="G68" s="16">
        <v>40085.0</v>
      </c>
      <c r="H68" s="17">
        <f t="shared" si="1"/>
        <v>3.275</v>
      </c>
      <c r="I68" s="14" t="s">
        <v>255</v>
      </c>
      <c r="J68" s="18"/>
    </row>
    <row r="69" ht="12.75" customHeight="1">
      <c r="A69" s="14" t="s">
        <v>256</v>
      </c>
      <c r="B69" s="19" t="s">
        <v>27</v>
      </c>
      <c r="C69" s="19" t="s">
        <v>257</v>
      </c>
      <c r="D69" s="14" t="s">
        <v>258</v>
      </c>
      <c r="E69" s="14" t="s">
        <v>24</v>
      </c>
      <c r="F69" s="16">
        <v>38904.0</v>
      </c>
      <c r="G69" s="16">
        <v>41319.0</v>
      </c>
      <c r="H69" s="17">
        <f t="shared" si="1"/>
        <v>6.605555556</v>
      </c>
      <c r="I69" s="19" t="s">
        <v>259</v>
      </c>
      <c r="J69" s="18"/>
    </row>
    <row r="70" ht="15.75" customHeight="1">
      <c r="A70" s="14" t="s">
        <v>260</v>
      </c>
      <c r="B70" s="14"/>
      <c r="C70" s="19" t="s">
        <v>257</v>
      </c>
      <c r="D70" s="20" t="s">
        <v>261</v>
      </c>
      <c r="E70" s="20" t="s">
        <v>14</v>
      </c>
      <c r="F70" s="16">
        <v>38883.0</v>
      </c>
      <c r="G70" s="16">
        <v>40885.0</v>
      </c>
      <c r="H70" s="20">
        <f t="shared" si="1"/>
        <v>5.480555556</v>
      </c>
      <c r="I70" s="20" t="s">
        <v>262</v>
      </c>
    </row>
    <row r="71" ht="15.75" customHeight="1">
      <c r="A71" s="14" t="s">
        <v>263</v>
      </c>
      <c r="B71" s="14"/>
      <c r="C71" s="19" t="s">
        <v>257</v>
      </c>
      <c r="D71" s="20" t="s">
        <v>264</v>
      </c>
      <c r="E71" s="20" t="s">
        <v>38</v>
      </c>
      <c r="F71" s="16">
        <v>38882.0</v>
      </c>
      <c r="G71" s="16">
        <v>39420.0</v>
      </c>
      <c r="H71" s="20">
        <f t="shared" si="1"/>
        <v>1.472222222</v>
      </c>
      <c r="I71" s="20" t="s">
        <v>265</v>
      </c>
    </row>
    <row r="72" ht="15.75" customHeight="1">
      <c r="A72" s="14" t="s">
        <v>266</v>
      </c>
      <c r="B72" s="14"/>
      <c r="C72" s="19" t="s">
        <v>257</v>
      </c>
      <c r="D72" s="20" t="s">
        <v>267</v>
      </c>
      <c r="E72" s="20" t="s">
        <v>53</v>
      </c>
      <c r="F72" s="16">
        <v>38895.0</v>
      </c>
      <c r="G72" s="16">
        <v>39332.0</v>
      </c>
      <c r="H72" s="20">
        <f t="shared" si="1"/>
        <v>1.194444444</v>
      </c>
      <c r="I72" s="20" t="s">
        <v>268</v>
      </c>
    </row>
    <row r="73" ht="12.75" customHeight="1">
      <c r="A73" s="14" t="s">
        <v>269</v>
      </c>
      <c r="B73" s="14" t="s">
        <v>56</v>
      </c>
      <c r="C73" s="19" t="s">
        <v>244</v>
      </c>
      <c r="D73" s="20" t="s">
        <v>270</v>
      </c>
      <c r="E73" s="14" t="s">
        <v>101</v>
      </c>
      <c r="F73" s="16">
        <v>38888.0</v>
      </c>
      <c r="G73" s="16">
        <v>43502.0</v>
      </c>
      <c r="H73" s="17">
        <f t="shared" si="1"/>
        <v>12.62777778</v>
      </c>
      <c r="I73" s="14" t="s">
        <v>271</v>
      </c>
      <c r="J73" s="18"/>
    </row>
    <row r="74" ht="15.75" customHeight="1">
      <c r="A74" s="14" t="s">
        <v>272</v>
      </c>
      <c r="B74" s="19" t="s">
        <v>22</v>
      </c>
      <c r="C74" s="19" t="s">
        <v>257</v>
      </c>
      <c r="D74" s="20" t="s">
        <v>33</v>
      </c>
      <c r="E74" s="20" t="s">
        <v>34</v>
      </c>
      <c r="F74" s="16">
        <v>38889.0</v>
      </c>
      <c r="G74" s="16">
        <v>39517.0</v>
      </c>
      <c r="H74" s="20">
        <f t="shared" si="1"/>
        <v>1.719444444</v>
      </c>
      <c r="I74" s="20" t="s">
        <v>273</v>
      </c>
    </row>
    <row r="75" ht="12.75" customHeight="1">
      <c r="A75" s="14" t="s">
        <v>274</v>
      </c>
      <c r="B75" s="14" t="s">
        <v>56</v>
      </c>
      <c r="C75" s="19" t="s">
        <v>244</v>
      </c>
      <c r="D75" s="14" t="s">
        <v>37</v>
      </c>
      <c r="E75" s="14" t="s">
        <v>38</v>
      </c>
      <c r="F75" s="16">
        <v>38945.0</v>
      </c>
      <c r="G75" s="16">
        <v>39742.0</v>
      </c>
      <c r="H75" s="17">
        <f t="shared" si="1"/>
        <v>2.180555556</v>
      </c>
      <c r="I75" s="14" t="s">
        <v>275</v>
      </c>
      <c r="J75" s="18"/>
    </row>
    <row r="76" ht="15.75" customHeight="1">
      <c r="A76" s="14" t="s">
        <v>276</v>
      </c>
      <c r="B76" s="14"/>
      <c r="C76" s="19" t="s">
        <v>257</v>
      </c>
      <c r="D76" s="20" t="s">
        <v>277</v>
      </c>
      <c r="E76" s="20" t="s">
        <v>14</v>
      </c>
      <c r="F76" s="16">
        <v>38947.0</v>
      </c>
      <c r="G76" s="16">
        <v>40708.0</v>
      </c>
      <c r="H76" s="20">
        <f t="shared" si="1"/>
        <v>4.822222222</v>
      </c>
      <c r="I76" s="20" t="s">
        <v>278</v>
      </c>
    </row>
    <row r="77" ht="12.75" customHeight="1">
      <c r="A77" s="14" t="s">
        <v>279</v>
      </c>
      <c r="B77" s="14" t="s">
        <v>56</v>
      </c>
      <c r="C77" s="19" t="s">
        <v>244</v>
      </c>
      <c r="D77" s="14" t="s">
        <v>280</v>
      </c>
      <c r="E77" s="14" t="s">
        <v>19</v>
      </c>
      <c r="F77" s="16">
        <v>38953.0</v>
      </c>
      <c r="G77" s="16">
        <v>42754.0</v>
      </c>
      <c r="H77" s="17">
        <f t="shared" si="1"/>
        <v>10.40277778</v>
      </c>
      <c r="I77" s="14" t="s">
        <v>281</v>
      </c>
      <c r="J77" s="18"/>
    </row>
    <row r="78" ht="15.75" customHeight="1">
      <c r="A78" s="14" t="s">
        <v>282</v>
      </c>
      <c r="B78" s="19" t="s">
        <v>27</v>
      </c>
      <c r="C78" s="19" t="s">
        <v>257</v>
      </c>
      <c r="D78" s="20" t="s">
        <v>283</v>
      </c>
      <c r="E78" s="20" t="s">
        <v>284</v>
      </c>
      <c r="F78" s="16">
        <v>38943.0</v>
      </c>
      <c r="G78" s="16">
        <v>41128.0</v>
      </c>
      <c r="H78" s="20">
        <f t="shared" si="1"/>
        <v>5.980555556</v>
      </c>
      <c r="I78" s="20" t="s">
        <v>285</v>
      </c>
    </row>
    <row r="79" ht="15.75" customHeight="1">
      <c r="A79" s="14" t="s">
        <v>286</v>
      </c>
      <c r="B79" s="19" t="s">
        <v>61</v>
      </c>
      <c r="C79" s="19" t="s">
        <v>257</v>
      </c>
      <c r="D79" s="20" t="s">
        <v>287</v>
      </c>
      <c r="E79" s="20" t="s">
        <v>288</v>
      </c>
      <c r="F79" s="16">
        <v>38943.0</v>
      </c>
      <c r="G79" s="16">
        <v>40315.0</v>
      </c>
      <c r="H79" s="20">
        <f t="shared" si="1"/>
        <v>3.758333333</v>
      </c>
      <c r="I79" s="20" t="s">
        <v>289</v>
      </c>
    </row>
    <row r="80" ht="15.75" customHeight="1">
      <c r="A80" s="14" t="s">
        <v>290</v>
      </c>
      <c r="B80" s="14"/>
      <c r="C80" s="19" t="s">
        <v>257</v>
      </c>
      <c r="D80" s="20" t="s">
        <v>291</v>
      </c>
      <c r="E80" s="20" t="s">
        <v>209</v>
      </c>
      <c r="F80" s="16">
        <v>38944.0</v>
      </c>
      <c r="G80" s="16">
        <v>39960.0</v>
      </c>
      <c r="H80" s="20">
        <f t="shared" si="1"/>
        <v>2.783333333</v>
      </c>
      <c r="I80" s="20" t="s">
        <v>292</v>
      </c>
    </row>
    <row r="81" ht="15.75" customHeight="1">
      <c r="A81" s="14" t="s">
        <v>293</v>
      </c>
      <c r="B81" s="19" t="s">
        <v>27</v>
      </c>
      <c r="C81" s="19" t="s">
        <v>257</v>
      </c>
      <c r="D81" s="20" t="s">
        <v>294</v>
      </c>
      <c r="E81" s="20" t="s">
        <v>38</v>
      </c>
      <c r="F81" s="16">
        <v>38945.0</v>
      </c>
      <c r="G81" s="16">
        <v>43262.0</v>
      </c>
      <c r="H81" s="20">
        <f t="shared" si="1"/>
        <v>11.81944444</v>
      </c>
      <c r="I81" s="20" t="s">
        <v>295</v>
      </c>
    </row>
    <row r="82" ht="15.75" customHeight="1">
      <c r="A82" s="14" t="s">
        <v>296</v>
      </c>
      <c r="B82" s="19" t="s">
        <v>61</v>
      </c>
      <c r="C82" s="19" t="s">
        <v>257</v>
      </c>
      <c r="D82" s="20" t="s">
        <v>297</v>
      </c>
      <c r="E82" s="20" t="s">
        <v>128</v>
      </c>
      <c r="F82" s="16">
        <v>38958.0</v>
      </c>
      <c r="G82" s="16">
        <v>40633.0</v>
      </c>
      <c r="H82" s="20">
        <f t="shared" si="1"/>
        <v>4.588888889</v>
      </c>
      <c r="I82" s="20" t="s">
        <v>298</v>
      </c>
    </row>
    <row r="83" ht="15.75" customHeight="1">
      <c r="A83" s="14" t="s">
        <v>299</v>
      </c>
      <c r="B83" s="19" t="s">
        <v>61</v>
      </c>
      <c r="C83" s="19" t="s">
        <v>257</v>
      </c>
      <c r="D83" s="20" t="s">
        <v>300</v>
      </c>
      <c r="E83" s="20" t="s">
        <v>14</v>
      </c>
      <c r="F83" s="16">
        <v>38938.0</v>
      </c>
      <c r="G83" s="16">
        <v>40575.0</v>
      </c>
      <c r="H83" s="20">
        <f t="shared" si="1"/>
        <v>4.477777778</v>
      </c>
      <c r="I83" s="20" t="s">
        <v>301</v>
      </c>
    </row>
    <row r="84" ht="15.75" customHeight="1">
      <c r="A84" s="14" t="s">
        <v>302</v>
      </c>
      <c r="B84" s="19" t="s">
        <v>61</v>
      </c>
      <c r="C84" s="19" t="s">
        <v>112</v>
      </c>
      <c r="D84" s="20" t="s">
        <v>303</v>
      </c>
      <c r="E84" s="20" t="s">
        <v>53</v>
      </c>
      <c r="F84" s="16">
        <v>39015.0</v>
      </c>
      <c r="G84" s="16">
        <v>40224.0</v>
      </c>
      <c r="H84" s="20">
        <f t="shared" si="1"/>
        <v>3.305555556</v>
      </c>
      <c r="I84" s="20" t="s">
        <v>304</v>
      </c>
    </row>
    <row r="85" ht="12.75" customHeight="1">
      <c r="A85" s="14" t="s">
        <v>305</v>
      </c>
      <c r="B85" s="14" t="s">
        <v>56</v>
      </c>
      <c r="C85" s="19" t="s">
        <v>112</v>
      </c>
      <c r="D85" s="20" t="s">
        <v>117</v>
      </c>
      <c r="E85" s="14" t="s">
        <v>14</v>
      </c>
      <c r="F85" s="16">
        <v>39015.0</v>
      </c>
      <c r="G85" s="16">
        <v>40136.0</v>
      </c>
      <c r="H85" s="17">
        <f t="shared" si="1"/>
        <v>3.066666667</v>
      </c>
      <c r="I85" s="14" t="s">
        <v>306</v>
      </c>
      <c r="J85" s="22"/>
    </row>
    <row r="86" ht="15.75" customHeight="1">
      <c r="A86" s="14" t="s">
        <v>307</v>
      </c>
      <c r="B86" s="19" t="s">
        <v>111</v>
      </c>
      <c r="C86" s="19" t="s">
        <v>112</v>
      </c>
      <c r="D86" s="20" t="s">
        <v>308</v>
      </c>
      <c r="E86" s="20" t="s">
        <v>38</v>
      </c>
      <c r="F86" s="16">
        <v>39020.0</v>
      </c>
      <c r="G86" s="16">
        <v>39826.0</v>
      </c>
      <c r="H86" s="20">
        <f t="shared" si="1"/>
        <v>2.202777778</v>
      </c>
      <c r="I86" s="23" t="s">
        <v>309</v>
      </c>
    </row>
    <row r="87" ht="15.75" customHeight="1">
      <c r="A87" s="14" t="s">
        <v>310</v>
      </c>
      <c r="B87" s="19" t="s">
        <v>61</v>
      </c>
      <c r="C87" s="19" t="s">
        <v>112</v>
      </c>
      <c r="D87" s="14" t="s">
        <v>311</v>
      </c>
      <c r="E87" s="14" t="s">
        <v>53</v>
      </c>
      <c r="F87" s="16">
        <v>39024.0</v>
      </c>
      <c r="G87" s="16">
        <v>40085.0</v>
      </c>
      <c r="H87" s="20">
        <f t="shared" si="1"/>
        <v>2.905555556</v>
      </c>
      <c r="I87" s="14" t="s">
        <v>312</v>
      </c>
    </row>
    <row r="88" ht="15.75" customHeight="1">
      <c r="A88" s="14" t="s">
        <v>313</v>
      </c>
      <c r="B88" s="19" t="s">
        <v>61</v>
      </c>
      <c r="C88" s="19" t="s">
        <v>244</v>
      </c>
      <c r="D88" s="14" t="s">
        <v>314</v>
      </c>
      <c r="E88" s="14" t="s">
        <v>53</v>
      </c>
      <c r="F88" s="16">
        <v>39079.0</v>
      </c>
      <c r="G88" s="16">
        <v>39532.0</v>
      </c>
      <c r="H88" s="20">
        <f t="shared" si="1"/>
        <v>1.241666667</v>
      </c>
      <c r="I88" s="14" t="s">
        <v>315</v>
      </c>
    </row>
    <row r="89" ht="15.75" customHeight="1">
      <c r="A89" s="14" t="s">
        <v>316</v>
      </c>
      <c r="B89" s="19" t="s">
        <v>22</v>
      </c>
      <c r="C89" s="19" t="s">
        <v>244</v>
      </c>
      <c r="D89" s="14" t="s">
        <v>317</v>
      </c>
      <c r="E89" s="16" t="s">
        <v>34</v>
      </c>
      <c r="F89" s="16">
        <v>39091.0</v>
      </c>
      <c r="G89" s="16">
        <v>40151.0</v>
      </c>
      <c r="H89" s="20">
        <f t="shared" si="1"/>
        <v>2.902777778</v>
      </c>
      <c r="I89" s="14" t="s">
        <v>318</v>
      </c>
    </row>
    <row r="90" ht="15.75" customHeight="1">
      <c r="A90" s="14" t="s">
        <v>319</v>
      </c>
      <c r="B90" s="14"/>
      <c r="C90" s="19" t="s">
        <v>45</v>
      </c>
      <c r="D90" s="20" t="s">
        <v>320</v>
      </c>
      <c r="E90" s="20" t="s">
        <v>58</v>
      </c>
      <c r="F90" s="16">
        <v>39070.0</v>
      </c>
      <c r="G90" s="16">
        <v>39531.0</v>
      </c>
      <c r="H90" s="20">
        <f t="shared" si="1"/>
        <v>1.263888889</v>
      </c>
      <c r="I90" s="20" t="s">
        <v>321</v>
      </c>
    </row>
    <row r="91" ht="15.75" customHeight="1">
      <c r="A91" s="14" t="s">
        <v>322</v>
      </c>
      <c r="B91" s="19" t="s">
        <v>27</v>
      </c>
      <c r="C91" s="19" t="s">
        <v>45</v>
      </c>
      <c r="D91" s="14" t="s">
        <v>323</v>
      </c>
      <c r="E91" s="14" t="s">
        <v>324</v>
      </c>
      <c r="F91" s="16">
        <v>39087.0</v>
      </c>
      <c r="G91" s="16">
        <v>41284.0</v>
      </c>
      <c r="H91" s="20">
        <f t="shared" si="1"/>
        <v>6.013888889</v>
      </c>
      <c r="I91" s="14" t="s">
        <v>325</v>
      </c>
    </row>
    <row r="92" ht="15.75" customHeight="1">
      <c r="A92" s="14" t="s">
        <v>326</v>
      </c>
      <c r="B92" s="14"/>
      <c r="C92" s="19" t="s">
        <v>45</v>
      </c>
      <c r="D92" s="20" t="s">
        <v>327</v>
      </c>
      <c r="E92" s="20" t="s">
        <v>227</v>
      </c>
      <c r="F92" s="16">
        <v>39078.0</v>
      </c>
      <c r="G92" s="16">
        <v>40004.0</v>
      </c>
      <c r="H92" s="20">
        <f t="shared" si="1"/>
        <v>2.536111111</v>
      </c>
      <c r="I92" s="20" t="s">
        <v>328</v>
      </c>
    </row>
    <row r="93" ht="15.75" customHeight="1">
      <c r="A93" s="14" t="s">
        <v>329</v>
      </c>
      <c r="B93" s="19" t="s">
        <v>111</v>
      </c>
      <c r="C93" s="19" t="s">
        <v>45</v>
      </c>
      <c r="D93" s="14" t="s">
        <v>330</v>
      </c>
      <c r="E93" s="14" t="s">
        <v>58</v>
      </c>
      <c r="F93" s="16">
        <v>39073.0</v>
      </c>
      <c r="G93" s="16">
        <v>40092.0</v>
      </c>
      <c r="H93" s="20">
        <f t="shared" si="1"/>
        <v>2.788888889</v>
      </c>
      <c r="I93" s="14" t="s">
        <v>331</v>
      </c>
    </row>
    <row r="94" ht="15.75" customHeight="1">
      <c r="A94" s="14" t="s">
        <v>332</v>
      </c>
      <c r="B94" s="19" t="s">
        <v>111</v>
      </c>
      <c r="C94" s="24" t="s">
        <v>333</v>
      </c>
      <c r="D94" s="20" t="s">
        <v>334</v>
      </c>
      <c r="E94" s="20" t="s">
        <v>14</v>
      </c>
      <c r="F94" s="16">
        <v>39070.0</v>
      </c>
      <c r="G94" s="16">
        <v>39738.0</v>
      </c>
      <c r="H94" s="20">
        <f t="shared" si="1"/>
        <v>1.827777778</v>
      </c>
      <c r="I94" s="20" t="s">
        <v>335</v>
      </c>
      <c r="J94" s="5" t="s">
        <v>336</v>
      </c>
    </row>
    <row r="95" ht="15.75" customHeight="1">
      <c r="A95" s="14" t="s">
        <v>337</v>
      </c>
      <c r="B95" s="14"/>
      <c r="C95" s="19" t="s">
        <v>45</v>
      </c>
      <c r="D95" s="20" t="s">
        <v>338</v>
      </c>
      <c r="E95" s="20" t="s">
        <v>339</v>
      </c>
      <c r="F95" s="16">
        <v>39092.0</v>
      </c>
      <c r="G95" s="16">
        <v>39584.0</v>
      </c>
      <c r="H95" s="20">
        <f t="shared" si="1"/>
        <v>1.35</v>
      </c>
      <c r="I95" s="20" t="s">
        <v>340</v>
      </c>
    </row>
    <row r="96" ht="12.75" customHeight="1">
      <c r="A96" s="14" t="s">
        <v>341</v>
      </c>
      <c r="B96" s="19" t="s">
        <v>61</v>
      </c>
      <c r="C96" s="19" t="s">
        <v>45</v>
      </c>
      <c r="D96" s="14" t="s">
        <v>342</v>
      </c>
      <c r="E96" s="14" t="s">
        <v>63</v>
      </c>
      <c r="F96" s="16">
        <v>39070.0</v>
      </c>
      <c r="G96" s="16">
        <v>42261.0</v>
      </c>
      <c r="H96" s="17">
        <f t="shared" si="1"/>
        <v>8.736111111</v>
      </c>
      <c r="I96" s="19" t="s">
        <v>343</v>
      </c>
      <c r="J96" s="25" t="s">
        <v>344</v>
      </c>
    </row>
    <row r="97" ht="15.75" customHeight="1">
      <c r="A97" s="14" t="s">
        <v>345</v>
      </c>
      <c r="B97" s="19" t="s">
        <v>11</v>
      </c>
      <c r="C97" s="19" t="s">
        <v>45</v>
      </c>
      <c r="D97" s="14" t="s">
        <v>346</v>
      </c>
      <c r="E97" s="14" t="s">
        <v>58</v>
      </c>
      <c r="F97" s="16">
        <v>39161.0</v>
      </c>
      <c r="G97" s="16">
        <v>41995.0</v>
      </c>
      <c r="H97" s="20">
        <f t="shared" si="1"/>
        <v>7.755555556</v>
      </c>
      <c r="I97" s="14" t="s">
        <v>347</v>
      </c>
      <c r="J97" s="5" t="s">
        <v>348</v>
      </c>
    </row>
    <row r="98" ht="15.75" customHeight="1">
      <c r="A98" s="14" t="s">
        <v>349</v>
      </c>
      <c r="B98" s="19" t="s">
        <v>27</v>
      </c>
      <c r="C98" s="19" t="s">
        <v>45</v>
      </c>
      <c r="D98" s="14" t="s">
        <v>350</v>
      </c>
      <c r="E98" s="14" t="s">
        <v>19</v>
      </c>
      <c r="F98" s="16">
        <v>39128.0</v>
      </c>
      <c r="G98" s="16">
        <v>40701.0</v>
      </c>
      <c r="H98" s="20">
        <f t="shared" si="1"/>
        <v>4.311111111</v>
      </c>
      <c r="I98" s="14" t="s">
        <v>351</v>
      </c>
    </row>
    <row r="99" ht="15.75" customHeight="1">
      <c r="A99" s="14" t="s">
        <v>352</v>
      </c>
      <c r="B99" s="14"/>
      <c r="C99" s="21" t="s">
        <v>353</v>
      </c>
      <c r="D99" s="14" t="s">
        <v>354</v>
      </c>
      <c r="E99" s="14" t="s">
        <v>124</v>
      </c>
      <c r="F99" s="16">
        <v>39128.0</v>
      </c>
      <c r="G99" s="16">
        <v>39574.0</v>
      </c>
      <c r="H99" s="20">
        <f t="shared" si="1"/>
        <v>1.225</v>
      </c>
      <c r="I99" s="20" t="s">
        <v>355</v>
      </c>
      <c r="J99" s="5" t="s">
        <v>356</v>
      </c>
    </row>
    <row r="100" ht="12.75" customHeight="1">
      <c r="A100" s="14" t="s">
        <v>357</v>
      </c>
      <c r="B100" s="14" t="s">
        <v>56</v>
      </c>
      <c r="C100" s="19" t="s">
        <v>45</v>
      </c>
      <c r="D100" s="14" t="s">
        <v>358</v>
      </c>
      <c r="E100" s="14" t="s">
        <v>14</v>
      </c>
      <c r="F100" s="16">
        <v>39122.0</v>
      </c>
      <c r="G100" s="16">
        <v>41123.0</v>
      </c>
      <c r="H100" s="17">
        <f t="shared" si="1"/>
        <v>5.480555556</v>
      </c>
      <c r="I100" s="14" t="s">
        <v>359</v>
      </c>
      <c r="J100" s="18"/>
    </row>
    <row r="101" ht="15.75" customHeight="1">
      <c r="A101" s="14" t="s">
        <v>360</v>
      </c>
      <c r="B101" s="19" t="s">
        <v>116</v>
      </c>
      <c r="C101" s="19" t="s">
        <v>45</v>
      </c>
      <c r="D101" s="14" t="s">
        <v>361</v>
      </c>
      <c r="E101" s="14" t="s">
        <v>128</v>
      </c>
      <c r="F101" s="16">
        <v>39128.0</v>
      </c>
      <c r="G101" s="16">
        <v>40007.0</v>
      </c>
      <c r="H101" s="20">
        <f t="shared" si="1"/>
        <v>2.411111111</v>
      </c>
      <c r="I101" s="14" t="s">
        <v>362</v>
      </c>
    </row>
    <row r="102" ht="15.75" customHeight="1">
      <c r="A102" s="14" t="s">
        <v>363</v>
      </c>
      <c r="B102" s="19" t="s">
        <v>27</v>
      </c>
      <c r="C102" s="19" t="s">
        <v>45</v>
      </c>
      <c r="D102" s="14" t="s">
        <v>364</v>
      </c>
      <c r="E102" s="14" t="s">
        <v>58</v>
      </c>
      <c r="F102" s="16">
        <v>39133.0</v>
      </c>
      <c r="G102" s="16">
        <v>40081.0</v>
      </c>
      <c r="H102" s="20">
        <f t="shared" si="1"/>
        <v>2.597222222</v>
      </c>
      <c r="I102" s="14" t="s">
        <v>365</v>
      </c>
    </row>
    <row r="103" ht="15.75" customHeight="1">
      <c r="A103" s="14" t="s">
        <v>366</v>
      </c>
      <c r="B103" s="14"/>
      <c r="C103" s="19" t="s">
        <v>45</v>
      </c>
      <c r="D103" s="14" t="s">
        <v>167</v>
      </c>
      <c r="E103" s="14" t="s">
        <v>24</v>
      </c>
      <c r="F103" s="16">
        <v>39161.0</v>
      </c>
      <c r="G103" s="16">
        <v>41136.0</v>
      </c>
      <c r="H103" s="20">
        <f t="shared" si="1"/>
        <v>5.402777778</v>
      </c>
      <c r="I103" s="14" t="s">
        <v>367</v>
      </c>
    </row>
    <row r="104" ht="15.75" customHeight="1">
      <c r="A104" s="14" t="s">
        <v>368</v>
      </c>
      <c r="B104" s="19" t="s">
        <v>116</v>
      </c>
      <c r="C104" s="19" t="s">
        <v>45</v>
      </c>
      <c r="D104" s="14" t="s">
        <v>57</v>
      </c>
      <c r="E104" s="14" t="s">
        <v>58</v>
      </c>
      <c r="F104" s="16">
        <v>39204.0</v>
      </c>
      <c r="G104" s="16">
        <v>40736.0</v>
      </c>
      <c r="H104" s="20">
        <f t="shared" si="1"/>
        <v>4.194444444</v>
      </c>
      <c r="I104" s="14" t="s">
        <v>369</v>
      </c>
    </row>
    <row r="105" ht="12.75" customHeight="1">
      <c r="A105" s="14" t="s">
        <v>370</v>
      </c>
      <c r="B105" s="14" t="s">
        <v>56</v>
      </c>
      <c r="C105" s="19" t="s">
        <v>45</v>
      </c>
      <c r="D105" s="14" t="s">
        <v>67</v>
      </c>
      <c r="E105" s="14" t="s">
        <v>14</v>
      </c>
      <c r="F105" s="16">
        <v>39190.0</v>
      </c>
      <c r="G105" s="16">
        <v>39904.0</v>
      </c>
      <c r="H105" s="17">
        <f t="shared" si="1"/>
        <v>1.952777778</v>
      </c>
      <c r="I105" s="14" t="s">
        <v>371</v>
      </c>
      <c r="J105" s="18"/>
    </row>
    <row r="106" ht="12.75" customHeight="1">
      <c r="A106" s="14" t="s">
        <v>372</v>
      </c>
      <c r="B106" s="14" t="s">
        <v>56</v>
      </c>
      <c r="C106" s="19" t="s">
        <v>45</v>
      </c>
      <c r="D106" s="20" t="s">
        <v>373</v>
      </c>
      <c r="E106" s="14" t="s">
        <v>14</v>
      </c>
      <c r="F106" s="16">
        <v>39189.0</v>
      </c>
      <c r="G106" s="16">
        <v>42522.0</v>
      </c>
      <c r="H106" s="17">
        <f t="shared" si="1"/>
        <v>9.122222222</v>
      </c>
      <c r="I106" s="14" t="s">
        <v>374</v>
      </c>
      <c r="J106" s="26" t="s">
        <v>375</v>
      </c>
    </row>
    <row r="107" ht="15.75" customHeight="1">
      <c r="A107" s="14" t="s">
        <v>376</v>
      </c>
      <c r="B107" s="19" t="s">
        <v>61</v>
      </c>
      <c r="C107" s="19" t="s">
        <v>45</v>
      </c>
      <c r="D107" s="14" t="s">
        <v>377</v>
      </c>
      <c r="E107" s="14" t="s">
        <v>24</v>
      </c>
      <c r="F107" s="16">
        <v>39210.0</v>
      </c>
      <c r="G107" s="16">
        <v>40423.0</v>
      </c>
      <c r="H107" s="20">
        <f t="shared" si="1"/>
        <v>3.316666667</v>
      </c>
      <c r="I107" s="14" t="s">
        <v>378</v>
      </c>
    </row>
    <row r="108" ht="15.75" customHeight="1">
      <c r="A108" s="14" t="s">
        <v>379</v>
      </c>
      <c r="B108" s="14"/>
      <c r="C108" s="19" t="s">
        <v>45</v>
      </c>
      <c r="D108" s="14" t="s">
        <v>380</v>
      </c>
      <c r="E108" s="14" t="s">
        <v>381</v>
      </c>
      <c r="F108" s="16">
        <v>39204.0</v>
      </c>
      <c r="G108" s="16">
        <v>40352.0</v>
      </c>
      <c r="H108" s="20">
        <f t="shared" si="1"/>
        <v>3.141666667</v>
      </c>
      <c r="I108" s="20" t="s">
        <v>382</v>
      </c>
    </row>
    <row r="109" ht="12.75" hidden="1" customHeight="1">
      <c r="A109" s="14" t="s">
        <v>383</v>
      </c>
      <c r="B109" s="14"/>
      <c r="C109" s="12" t="s">
        <v>66</v>
      </c>
      <c r="D109" s="14" t="s">
        <v>384</v>
      </c>
      <c r="E109" s="14" t="s">
        <v>177</v>
      </c>
      <c r="F109" s="16">
        <v>39190.0</v>
      </c>
      <c r="G109" s="16">
        <v>39378.0</v>
      </c>
      <c r="H109" s="17">
        <f t="shared" si="1"/>
        <v>0.5138888889</v>
      </c>
      <c r="I109" s="14" t="s">
        <v>385</v>
      </c>
      <c r="J109" s="18"/>
    </row>
    <row r="110" ht="15.75" customHeight="1">
      <c r="A110" s="14" t="s">
        <v>386</v>
      </c>
      <c r="B110" s="19" t="s">
        <v>111</v>
      </c>
      <c r="C110" s="19" t="s">
        <v>45</v>
      </c>
      <c r="D110" s="14" t="s">
        <v>387</v>
      </c>
      <c r="E110" s="14" t="s">
        <v>388</v>
      </c>
      <c r="F110" s="16">
        <v>39212.0</v>
      </c>
      <c r="G110" s="16">
        <v>40270.0</v>
      </c>
      <c r="H110" s="20">
        <f t="shared" si="1"/>
        <v>2.894444444</v>
      </c>
      <c r="I110" s="14" t="s">
        <v>389</v>
      </c>
    </row>
    <row r="111" ht="15.75" customHeight="1">
      <c r="A111" s="14" t="s">
        <v>390</v>
      </c>
      <c r="B111" s="19" t="s">
        <v>61</v>
      </c>
      <c r="C111" s="19" t="s">
        <v>45</v>
      </c>
      <c r="D111" s="14" t="s">
        <v>297</v>
      </c>
      <c r="E111" s="14" t="s">
        <v>128</v>
      </c>
      <c r="F111" s="16">
        <v>39261.0</v>
      </c>
      <c r="G111" s="16">
        <v>40067.0</v>
      </c>
      <c r="H111" s="20">
        <f t="shared" si="1"/>
        <v>2.202777778</v>
      </c>
      <c r="I111" s="14" t="s">
        <v>391</v>
      </c>
    </row>
    <row r="112" ht="15.75" customHeight="1">
      <c r="A112" s="14" t="s">
        <v>392</v>
      </c>
      <c r="B112" s="19" t="s">
        <v>116</v>
      </c>
      <c r="C112" s="19" t="s">
        <v>45</v>
      </c>
      <c r="D112" s="14" t="s">
        <v>163</v>
      </c>
      <c r="E112" s="14" t="s">
        <v>164</v>
      </c>
      <c r="F112" s="16">
        <v>39251.0</v>
      </c>
      <c r="G112" s="16">
        <v>42648.0</v>
      </c>
      <c r="H112" s="20">
        <f t="shared" si="1"/>
        <v>9.297222222</v>
      </c>
      <c r="I112" s="14" t="s">
        <v>393</v>
      </c>
    </row>
    <row r="113" ht="15.75" customHeight="1">
      <c r="A113" s="14" t="s">
        <v>394</v>
      </c>
      <c r="B113" s="19" t="s">
        <v>111</v>
      </c>
      <c r="C113" s="19" t="s">
        <v>45</v>
      </c>
      <c r="D113" s="14" t="s">
        <v>261</v>
      </c>
      <c r="E113" s="14" t="s">
        <v>14</v>
      </c>
      <c r="F113" s="16">
        <v>39255.0</v>
      </c>
      <c r="G113" s="16">
        <v>40816.0</v>
      </c>
      <c r="H113" s="20">
        <f t="shared" si="1"/>
        <v>4.272222222</v>
      </c>
      <c r="I113" s="14" t="s">
        <v>395</v>
      </c>
    </row>
    <row r="114" ht="15.75" customHeight="1">
      <c r="A114" s="14" t="s">
        <v>396</v>
      </c>
      <c r="B114" s="19" t="s">
        <v>27</v>
      </c>
      <c r="C114" s="19" t="s">
        <v>45</v>
      </c>
      <c r="D114" s="14" t="s">
        <v>397</v>
      </c>
      <c r="E114" s="14" t="s">
        <v>398</v>
      </c>
      <c r="F114" s="16">
        <v>39255.0</v>
      </c>
      <c r="G114" s="16">
        <v>42986.0</v>
      </c>
      <c r="H114" s="20">
        <f t="shared" si="1"/>
        <v>10.21111111</v>
      </c>
      <c r="I114" s="14" t="s">
        <v>399</v>
      </c>
    </row>
    <row r="115" ht="15.75" customHeight="1">
      <c r="A115" s="14" t="s">
        <v>400</v>
      </c>
      <c r="B115" s="19" t="s">
        <v>98</v>
      </c>
      <c r="C115" s="19" t="s">
        <v>45</v>
      </c>
      <c r="D115" s="14" t="s">
        <v>270</v>
      </c>
      <c r="E115" s="14" t="s">
        <v>101</v>
      </c>
      <c r="F115" s="16">
        <v>39255.0</v>
      </c>
      <c r="G115" s="16">
        <v>39632.0</v>
      </c>
      <c r="H115" s="20">
        <f t="shared" si="1"/>
        <v>1.030555556</v>
      </c>
      <c r="I115" s="20" t="s">
        <v>401</v>
      </c>
    </row>
    <row r="116" ht="15.75" customHeight="1">
      <c r="A116" s="14" t="s">
        <v>402</v>
      </c>
      <c r="B116" s="19" t="s">
        <v>27</v>
      </c>
      <c r="C116" s="19" t="s">
        <v>45</v>
      </c>
      <c r="D116" s="14" t="s">
        <v>323</v>
      </c>
      <c r="E116" s="14" t="s">
        <v>324</v>
      </c>
      <c r="F116" s="16">
        <v>39280.0</v>
      </c>
      <c r="G116" s="16">
        <v>42096.0</v>
      </c>
      <c r="H116" s="20">
        <f t="shared" si="1"/>
        <v>7.708333333</v>
      </c>
      <c r="I116" s="14" t="s">
        <v>403</v>
      </c>
    </row>
    <row r="117" ht="15.75" customHeight="1">
      <c r="A117" s="14" t="s">
        <v>404</v>
      </c>
      <c r="B117" s="19" t="s">
        <v>61</v>
      </c>
      <c r="C117" s="19" t="s">
        <v>45</v>
      </c>
      <c r="D117" s="14" t="s">
        <v>405</v>
      </c>
      <c r="E117" s="14" t="s">
        <v>406</v>
      </c>
      <c r="F117" s="16">
        <v>39259.0</v>
      </c>
      <c r="G117" s="16">
        <v>42128.0</v>
      </c>
      <c r="H117" s="20">
        <f t="shared" si="1"/>
        <v>7.855555556</v>
      </c>
      <c r="I117" s="14" t="s">
        <v>407</v>
      </c>
    </row>
    <row r="118" ht="15.75" customHeight="1">
      <c r="A118" s="14" t="s">
        <v>408</v>
      </c>
      <c r="B118" s="19" t="s">
        <v>11</v>
      </c>
      <c r="C118" s="19" t="s">
        <v>45</v>
      </c>
      <c r="D118" s="14" t="s">
        <v>41</v>
      </c>
      <c r="E118" s="14" t="s">
        <v>42</v>
      </c>
      <c r="F118" s="16">
        <v>39251.0</v>
      </c>
      <c r="G118" s="16">
        <v>40646.0</v>
      </c>
      <c r="H118" s="20">
        <f t="shared" si="1"/>
        <v>3.819444444</v>
      </c>
      <c r="I118" s="14" t="s">
        <v>409</v>
      </c>
    </row>
    <row r="119" ht="15.75" hidden="1" customHeight="1">
      <c r="A119" s="14" t="s">
        <v>410</v>
      </c>
      <c r="B119" s="14"/>
      <c r="C119" s="12" t="s">
        <v>66</v>
      </c>
      <c r="D119" s="14" t="s">
        <v>411</v>
      </c>
      <c r="E119" s="14" t="s">
        <v>140</v>
      </c>
      <c r="F119" s="16">
        <v>39276.0</v>
      </c>
      <c r="G119" s="16">
        <v>39499.0</v>
      </c>
      <c r="H119" s="20">
        <f t="shared" si="1"/>
        <v>0.6055555556</v>
      </c>
      <c r="I119" s="20" t="s">
        <v>412</v>
      </c>
    </row>
    <row r="120" ht="15.75" customHeight="1">
      <c r="A120" s="14" t="s">
        <v>413</v>
      </c>
      <c r="B120" s="19" t="s">
        <v>27</v>
      </c>
      <c r="C120" s="19" t="s">
        <v>45</v>
      </c>
      <c r="D120" s="14" t="s">
        <v>414</v>
      </c>
      <c r="E120" s="14" t="s">
        <v>34</v>
      </c>
      <c r="F120" s="16">
        <v>39255.0</v>
      </c>
      <c r="G120" s="16">
        <v>39771.0</v>
      </c>
      <c r="H120" s="20">
        <f t="shared" si="1"/>
        <v>1.408333333</v>
      </c>
      <c r="I120" s="20" t="s">
        <v>415</v>
      </c>
    </row>
    <row r="121" ht="15.75" customHeight="1">
      <c r="A121" s="14" t="s">
        <v>416</v>
      </c>
      <c r="B121" s="19" t="s">
        <v>11</v>
      </c>
      <c r="C121" s="19" t="s">
        <v>45</v>
      </c>
      <c r="D121" s="14" t="s">
        <v>417</v>
      </c>
      <c r="E121" s="14" t="s">
        <v>34</v>
      </c>
      <c r="F121" s="16">
        <v>39310.0</v>
      </c>
      <c r="G121" s="16">
        <v>40071.0</v>
      </c>
      <c r="H121" s="20">
        <f t="shared" si="1"/>
        <v>2.080555556</v>
      </c>
      <c r="I121" s="14" t="s">
        <v>418</v>
      </c>
    </row>
    <row r="122" ht="15.75" hidden="1" customHeight="1">
      <c r="A122" s="14" t="s">
        <v>419</v>
      </c>
      <c r="B122" s="14"/>
      <c r="C122" s="12" t="s">
        <v>66</v>
      </c>
      <c r="D122" s="14" t="s">
        <v>163</v>
      </c>
      <c r="E122" s="14" t="s">
        <v>164</v>
      </c>
      <c r="F122" s="16">
        <v>39339.0</v>
      </c>
      <c r="G122" s="16">
        <v>39631.0</v>
      </c>
      <c r="H122" s="20">
        <f t="shared" si="1"/>
        <v>0.8</v>
      </c>
      <c r="I122" s="20" t="s">
        <v>420</v>
      </c>
    </row>
    <row r="123" ht="15.75" customHeight="1">
      <c r="A123" s="14" t="s">
        <v>421</v>
      </c>
      <c r="B123" s="19" t="s">
        <v>111</v>
      </c>
      <c r="C123" s="19" t="s">
        <v>45</v>
      </c>
      <c r="D123" s="20" t="s">
        <v>422</v>
      </c>
      <c r="E123" s="20" t="s">
        <v>423</v>
      </c>
      <c r="F123" s="16">
        <v>39311.0</v>
      </c>
      <c r="G123" s="16">
        <v>40802.0</v>
      </c>
      <c r="H123" s="20">
        <f t="shared" si="1"/>
        <v>4.080555556</v>
      </c>
      <c r="I123" s="20" t="s">
        <v>424</v>
      </c>
    </row>
    <row r="124" ht="15.75" customHeight="1">
      <c r="A124" s="14" t="s">
        <v>425</v>
      </c>
      <c r="B124" s="19" t="s">
        <v>116</v>
      </c>
      <c r="C124" s="19" t="s">
        <v>45</v>
      </c>
      <c r="D124" s="14" t="s">
        <v>426</v>
      </c>
      <c r="E124" s="14" t="s">
        <v>34</v>
      </c>
      <c r="F124" s="16">
        <v>39310.0</v>
      </c>
      <c r="G124" s="16">
        <v>40338.0</v>
      </c>
      <c r="H124" s="20">
        <f t="shared" si="1"/>
        <v>2.813888889</v>
      </c>
      <c r="I124" s="20" t="s">
        <v>427</v>
      </c>
    </row>
    <row r="125" ht="15.75" customHeight="1">
      <c r="A125" s="14" t="s">
        <v>428</v>
      </c>
      <c r="B125" s="19" t="s">
        <v>116</v>
      </c>
      <c r="C125" s="19" t="s">
        <v>45</v>
      </c>
      <c r="D125" s="20" t="s">
        <v>277</v>
      </c>
      <c r="E125" s="20" t="s">
        <v>128</v>
      </c>
      <c r="F125" s="16">
        <v>39325.0</v>
      </c>
      <c r="G125" s="16">
        <v>40885.0</v>
      </c>
      <c r="H125" s="20">
        <f t="shared" si="1"/>
        <v>4.272222222</v>
      </c>
      <c r="I125" s="20" t="s">
        <v>429</v>
      </c>
    </row>
    <row r="126" ht="15.75" customHeight="1">
      <c r="A126" s="14" t="s">
        <v>430</v>
      </c>
      <c r="B126" s="19" t="s">
        <v>116</v>
      </c>
      <c r="C126" s="19" t="s">
        <v>45</v>
      </c>
      <c r="D126" s="20" t="s">
        <v>317</v>
      </c>
      <c r="E126" s="20" t="s">
        <v>34</v>
      </c>
      <c r="F126" s="16">
        <v>39309.0</v>
      </c>
      <c r="G126" s="16">
        <v>40682.0</v>
      </c>
      <c r="H126" s="20">
        <f t="shared" si="1"/>
        <v>3.761111111</v>
      </c>
      <c r="I126" s="20" t="s">
        <v>431</v>
      </c>
    </row>
    <row r="127" ht="15.75" hidden="1" customHeight="1">
      <c r="A127" s="14" t="s">
        <v>432</v>
      </c>
      <c r="B127" s="14"/>
      <c r="C127" s="12" t="s">
        <v>66</v>
      </c>
      <c r="D127" s="14" t="s">
        <v>346</v>
      </c>
      <c r="E127" s="14" t="s">
        <v>58</v>
      </c>
      <c r="F127" s="16">
        <v>39324.0</v>
      </c>
      <c r="G127" s="16">
        <v>39659.0</v>
      </c>
      <c r="H127" s="20">
        <f t="shared" si="1"/>
        <v>0.9166666667</v>
      </c>
      <c r="I127" s="20" t="s">
        <v>433</v>
      </c>
    </row>
    <row r="128" ht="12.75" customHeight="1">
      <c r="A128" s="14" t="s">
        <v>434</v>
      </c>
      <c r="B128" s="14" t="s">
        <v>56</v>
      </c>
      <c r="C128" s="19" t="s">
        <v>45</v>
      </c>
      <c r="D128" s="14" t="s">
        <v>283</v>
      </c>
      <c r="E128" s="14" t="s">
        <v>284</v>
      </c>
      <c r="F128" s="16">
        <v>39310.0</v>
      </c>
      <c r="G128" s="16">
        <v>40949.0</v>
      </c>
      <c r="H128" s="17">
        <f t="shared" si="1"/>
        <v>4.483333333</v>
      </c>
      <c r="I128" s="14" t="s">
        <v>435</v>
      </c>
      <c r="J128" s="18"/>
    </row>
    <row r="129" ht="15.75" customHeight="1">
      <c r="A129" s="14" t="s">
        <v>436</v>
      </c>
      <c r="B129" s="19" t="s">
        <v>11</v>
      </c>
      <c r="C129" s="19" t="s">
        <v>45</v>
      </c>
      <c r="D129" s="20" t="s">
        <v>41</v>
      </c>
      <c r="E129" s="20" t="s">
        <v>42</v>
      </c>
      <c r="F129" s="16">
        <v>39314.0</v>
      </c>
      <c r="G129" s="16">
        <v>40140.0</v>
      </c>
      <c r="H129" s="20">
        <f t="shared" si="1"/>
        <v>2.258333333</v>
      </c>
      <c r="I129" s="20" t="s">
        <v>437</v>
      </c>
    </row>
    <row r="130" ht="15.75" customHeight="1">
      <c r="A130" s="14" t="s">
        <v>438</v>
      </c>
      <c r="B130" s="19" t="s">
        <v>439</v>
      </c>
      <c r="C130" s="19" t="s">
        <v>45</v>
      </c>
      <c r="D130" s="20" t="s">
        <v>440</v>
      </c>
      <c r="E130" s="20" t="s">
        <v>160</v>
      </c>
      <c r="F130" s="16">
        <v>39311.0</v>
      </c>
      <c r="G130" s="16">
        <v>41488.0</v>
      </c>
      <c r="H130" s="20">
        <f t="shared" si="1"/>
        <v>5.958333333</v>
      </c>
      <c r="I130" s="20" t="s">
        <v>441</v>
      </c>
    </row>
    <row r="131" ht="15.75" hidden="1" customHeight="1">
      <c r="A131" s="14" t="s">
        <v>442</v>
      </c>
      <c r="B131" s="14"/>
      <c r="C131" s="12" t="s">
        <v>66</v>
      </c>
      <c r="D131" s="20" t="s">
        <v>361</v>
      </c>
      <c r="E131" s="20" t="s">
        <v>128</v>
      </c>
      <c r="F131" s="16">
        <v>39379.0</v>
      </c>
      <c r="G131" s="16">
        <v>39682.0</v>
      </c>
      <c r="H131" s="20">
        <f t="shared" si="1"/>
        <v>0.8277777778</v>
      </c>
      <c r="I131" s="20" t="s">
        <v>443</v>
      </c>
    </row>
    <row r="132" ht="15.75" customHeight="1">
      <c r="A132" s="14" t="s">
        <v>444</v>
      </c>
      <c r="B132" s="19" t="s">
        <v>111</v>
      </c>
      <c r="C132" s="19" t="s">
        <v>45</v>
      </c>
      <c r="D132" s="20" t="s">
        <v>445</v>
      </c>
      <c r="E132" s="20" t="s">
        <v>446</v>
      </c>
      <c r="F132" s="16">
        <v>39388.0</v>
      </c>
      <c r="G132" s="16">
        <v>40268.0</v>
      </c>
      <c r="H132" s="20">
        <f t="shared" si="1"/>
        <v>2.413888889</v>
      </c>
      <c r="I132" s="20" t="s">
        <v>447</v>
      </c>
    </row>
    <row r="133" ht="15.75" customHeight="1">
      <c r="A133" s="14" t="s">
        <v>448</v>
      </c>
      <c r="B133" s="19" t="s">
        <v>27</v>
      </c>
      <c r="C133" s="19" t="s">
        <v>45</v>
      </c>
      <c r="D133" s="20" t="s">
        <v>449</v>
      </c>
      <c r="E133" s="20" t="s">
        <v>30</v>
      </c>
      <c r="F133" s="16">
        <v>39379.0</v>
      </c>
      <c r="G133" s="16">
        <v>42135.0</v>
      </c>
      <c r="H133" s="20">
        <f t="shared" si="1"/>
        <v>7.547222222</v>
      </c>
      <c r="I133" s="20" t="s">
        <v>450</v>
      </c>
      <c r="J133" s="5" t="s">
        <v>451</v>
      </c>
    </row>
    <row r="134" ht="15.75" customHeight="1">
      <c r="A134" s="14" t="s">
        <v>452</v>
      </c>
      <c r="B134" s="19" t="s">
        <v>111</v>
      </c>
      <c r="C134" s="19" t="s">
        <v>45</v>
      </c>
      <c r="D134" s="20" t="s">
        <v>453</v>
      </c>
      <c r="E134" s="20" t="s">
        <v>454</v>
      </c>
      <c r="F134" s="16">
        <v>39377.0</v>
      </c>
      <c r="G134" s="16">
        <v>40673.0</v>
      </c>
      <c r="H134" s="20">
        <f t="shared" si="1"/>
        <v>3.55</v>
      </c>
      <c r="I134" s="20" t="s">
        <v>455</v>
      </c>
    </row>
    <row r="135" ht="15.75" customHeight="1">
      <c r="A135" s="14" t="s">
        <v>456</v>
      </c>
      <c r="B135" s="19" t="s">
        <v>61</v>
      </c>
      <c r="C135" s="19" t="s">
        <v>45</v>
      </c>
      <c r="D135" s="20" t="s">
        <v>457</v>
      </c>
      <c r="E135" s="20" t="s">
        <v>124</v>
      </c>
      <c r="F135" s="16">
        <v>39400.0</v>
      </c>
      <c r="G135" s="16">
        <v>40231.0</v>
      </c>
      <c r="H135" s="20">
        <f t="shared" si="1"/>
        <v>2.272222222</v>
      </c>
      <c r="I135" s="20" t="s">
        <v>458</v>
      </c>
    </row>
    <row r="136" ht="15.75" customHeight="1">
      <c r="A136" s="14" t="s">
        <v>459</v>
      </c>
      <c r="B136" s="19" t="s">
        <v>61</v>
      </c>
      <c r="C136" s="19" t="s">
        <v>45</v>
      </c>
      <c r="D136" s="20" t="s">
        <v>460</v>
      </c>
      <c r="E136" s="20" t="s">
        <v>461</v>
      </c>
      <c r="F136" s="16">
        <v>39374.0</v>
      </c>
      <c r="G136" s="16">
        <v>43567.0</v>
      </c>
      <c r="H136" s="20">
        <f t="shared" si="1"/>
        <v>11.48055556</v>
      </c>
      <c r="I136" s="20" t="s">
        <v>462</v>
      </c>
    </row>
    <row r="137" ht="15.75" customHeight="1">
      <c r="A137" s="14" t="s">
        <v>463</v>
      </c>
      <c r="B137" s="19" t="s">
        <v>61</v>
      </c>
      <c r="C137" s="19" t="s">
        <v>45</v>
      </c>
      <c r="D137" s="20" t="s">
        <v>464</v>
      </c>
      <c r="E137" s="20" t="s">
        <v>188</v>
      </c>
      <c r="F137" s="16">
        <v>39373.0</v>
      </c>
      <c r="G137" s="16">
        <v>41578.0</v>
      </c>
      <c r="H137" s="20">
        <f t="shared" si="1"/>
        <v>6.036111111</v>
      </c>
      <c r="I137" s="20" t="s">
        <v>465</v>
      </c>
    </row>
    <row r="138" ht="15.75" customHeight="1">
      <c r="A138" s="14" t="s">
        <v>466</v>
      </c>
      <c r="B138" s="19" t="s">
        <v>22</v>
      </c>
      <c r="C138" s="19" t="s">
        <v>45</v>
      </c>
      <c r="D138" s="20" t="s">
        <v>467</v>
      </c>
      <c r="E138" s="20" t="s">
        <v>19</v>
      </c>
      <c r="F138" s="16">
        <v>39381.0</v>
      </c>
      <c r="G138" s="16">
        <v>40030.0</v>
      </c>
      <c r="H138" s="20">
        <f t="shared" si="1"/>
        <v>1.775</v>
      </c>
      <c r="I138" s="20" t="s">
        <v>468</v>
      </c>
    </row>
    <row r="139" ht="15.75" hidden="1" customHeight="1">
      <c r="A139" s="14" t="s">
        <v>469</v>
      </c>
      <c r="B139" s="14"/>
      <c r="C139" s="12" t="s">
        <v>66</v>
      </c>
      <c r="D139" s="14" t="s">
        <v>470</v>
      </c>
      <c r="E139" s="14" t="s">
        <v>34</v>
      </c>
      <c r="F139" s="16">
        <v>39372.0</v>
      </c>
      <c r="G139" s="16">
        <v>39696.0</v>
      </c>
      <c r="H139" s="20">
        <f t="shared" si="1"/>
        <v>0.8833333333</v>
      </c>
      <c r="I139" s="20" t="s">
        <v>471</v>
      </c>
    </row>
    <row r="140" ht="12.75" customHeight="1">
      <c r="A140" s="14" t="s">
        <v>472</v>
      </c>
      <c r="B140" s="14" t="s">
        <v>56</v>
      </c>
      <c r="C140" s="19" t="s">
        <v>45</v>
      </c>
      <c r="D140" s="27" t="s">
        <v>473</v>
      </c>
      <c r="E140" s="14" t="s">
        <v>339</v>
      </c>
      <c r="F140" s="16">
        <v>39434.0</v>
      </c>
      <c r="G140" s="16">
        <v>39822.0</v>
      </c>
      <c r="H140" s="17">
        <f t="shared" si="1"/>
        <v>1.058333333</v>
      </c>
      <c r="I140" s="14" t="s">
        <v>474</v>
      </c>
      <c r="J140" s="18"/>
    </row>
    <row r="141" ht="12.75" customHeight="1">
      <c r="A141" s="14" t="s">
        <v>475</v>
      </c>
      <c r="B141" s="14" t="s">
        <v>56</v>
      </c>
      <c r="C141" s="19" t="s">
        <v>45</v>
      </c>
      <c r="D141" s="27" t="s">
        <v>476</v>
      </c>
      <c r="E141" s="14" t="s">
        <v>477</v>
      </c>
      <c r="F141" s="16">
        <v>39470.0</v>
      </c>
      <c r="G141" s="16">
        <v>40743.0</v>
      </c>
      <c r="H141" s="17">
        <f t="shared" si="1"/>
        <v>3.488888889</v>
      </c>
      <c r="I141" s="14" t="s">
        <v>478</v>
      </c>
      <c r="J141" s="18"/>
    </row>
    <row r="142" ht="15.75" customHeight="1">
      <c r="A142" s="14" t="s">
        <v>479</v>
      </c>
      <c r="B142" s="19" t="s">
        <v>22</v>
      </c>
      <c r="C142" s="19" t="s">
        <v>45</v>
      </c>
      <c r="D142" s="20" t="s">
        <v>327</v>
      </c>
      <c r="E142" s="20" t="s">
        <v>227</v>
      </c>
      <c r="F142" s="16">
        <v>39449.0</v>
      </c>
      <c r="G142" s="16">
        <v>43024.0</v>
      </c>
      <c r="H142" s="20">
        <f t="shared" si="1"/>
        <v>9.788888889</v>
      </c>
      <c r="I142" s="20" t="s">
        <v>480</v>
      </c>
    </row>
    <row r="143" ht="12.75" customHeight="1">
      <c r="A143" s="14" t="s">
        <v>481</v>
      </c>
      <c r="B143" s="14" t="s">
        <v>56</v>
      </c>
      <c r="C143" s="19" t="s">
        <v>45</v>
      </c>
      <c r="D143" s="27" t="s">
        <v>482</v>
      </c>
      <c r="E143" s="14" t="s">
        <v>58</v>
      </c>
      <c r="F143" s="16">
        <v>39435.0</v>
      </c>
      <c r="G143" s="16">
        <v>41873.0</v>
      </c>
      <c r="H143" s="17">
        <f t="shared" si="1"/>
        <v>6.675</v>
      </c>
      <c r="I143" s="14" t="s">
        <v>483</v>
      </c>
      <c r="J143" s="18"/>
    </row>
    <row r="144" ht="15.75" hidden="1" customHeight="1">
      <c r="A144" s="14" t="s">
        <v>484</v>
      </c>
      <c r="B144" s="14"/>
      <c r="C144" s="12" t="s">
        <v>66</v>
      </c>
      <c r="D144" s="14" t="s">
        <v>485</v>
      </c>
      <c r="E144" s="14" t="s">
        <v>140</v>
      </c>
      <c r="F144" s="16">
        <v>39450.0</v>
      </c>
      <c r="G144" s="16">
        <v>39772.0</v>
      </c>
      <c r="H144" s="20">
        <f t="shared" si="1"/>
        <v>0.8805555556</v>
      </c>
      <c r="I144" s="20" t="s">
        <v>486</v>
      </c>
    </row>
    <row r="145" ht="15.75" hidden="1" customHeight="1">
      <c r="A145" s="14" t="s">
        <v>487</v>
      </c>
      <c r="B145" s="14"/>
      <c r="C145" s="12" t="s">
        <v>66</v>
      </c>
      <c r="D145" s="14" t="s">
        <v>488</v>
      </c>
      <c r="E145" s="14" t="s">
        <v>124</v>
      </c>
      <c r="F145" s="16">
        <v>39435.0</v>
      </c>
      <c r="G145" s="16">
        <v>39738.0</v>
      </c>
      <c r="H145" s="20">
        <f t="shared" si="1"/>
        <v>0.8277777778</v>
      </c>
      <c r="I145" s="20" t="s">
        <v>489</v>
      </c>
    </row>
    <row r="146" ht="15.75" customHeight="1">
      <c r="A146" s="14" t="s">
        <v>490</v>
      </c>
      <c r="B146" s="19" t="s">
        <v>61</v>
      </c>
      <c r="C146" s="19" t="s">
        <v>45</v>
      </c>
      <c r="D146" s="20" t="s">
        <v>491</v>
      </c>
      <c r="E146" s="20" t="s">
        <v>492</v>
      </c>
      <c r="F146" s="16">
        <v>39434.0</v>
      </c>
      <c r="G146" s="16">
        <v>41991.0</v>
      </c>
      <c r="H146" s="20">
        <f t="shared" si="1"/>
        <v>7</v>
      </c>
      <c r="I146" s="20" t="s">
        <v>493</v>
      </c>
    </row>
    <row r="147" ht="12.75" customHeight="1">
      <c r="A147" s="14" t="s">
        <v>494</v>
      </c>
      <c r="B147" s="14" t="s">
        <v>56</v>
      </c>
      <c r="C147" s="19" t="s">
        <v>45</v>
      </c>
      <c r="D147" s="14" t="s">
        <v>495</v>
      </c>
      <c r="E147" s="27" t="s">
        <v>324</v>
      </c>
      <c r="F147" s="16">
        <v>39436.0</v>
      </c>
      <c r="G147" s="16">
        <v>39841.0</v>
      </c>
      <c r="H147" s="17">
        <f t="shared" si="1"/>
        <v>1.105555556</v>
      </c>
      <c r="I147" s="14" t="s">
        <v>496</v>
      </c>
      <c r="J147" s="18"/>
    </row>
    <row r="148" ht="15.75" hidden="1" customHeight="1">
      <c r="A148" s="14" t="s">
        <v>497</v>
      </c>
      <c r="B148" s="14"/>
      <c r="C148" s="12" t="s">
        <v>66</v>
      </c>
      <c r="D148" s="20" t="s">
        <v>498</v>
      </c>
      <c r="E148" s="20" t="s">
        <v>499</v>
      </c>
      <c r="F148" s="16">
        <v>39455.0</v>
      </c>
      <c r="G148" s="16">
        <v>39784.0</v>
      </c>
      <c r="H148" s="20">
        <f t="shared" si="1"/>
        <v>0.9</v>
      </c>
      <c r="I148" s="20" t="s">
        <v>500</v>
      </c>
    </row>
    <row r="149" ht="15.75" customHeight="1">
      <c r="A149" s="14" t="s">
        <v>501</v>
      </c>
      <c r="B149" s="19" t="s">
        <v>27</v>
      </c>
      <c r="C149" s="19" t="s">
        <v>45</v>
      </c>
      <c r="D149" s="20" t="s">
        <v>364</v>
      </c>
      <c r="E149" s="20" t="s">
        <v>58</v>
      </c>
      <c r="F149" s="16">
        <v>39434.0</v>
      </c>
      <c r="G149" s="16">
        <v>40263.0</v>
      </c>
      <c r="H149" s="20">
        <f t="shared" si="1"/>
        <v>2.272222222</v>
      </c>
      <c r="I149" s="20" t="s">
        <v>502</v>
      </c>
    </row>
    <row r="150" ht="15.75" customHeight="1">
      <c r="A150" s="14" t="s">
        <v>503</v>
      </c>
      <c r="B150" s="19" t="s">
        <v>22</v>
      </c>
      <c r="C150" s="19" t="s">
        <v>45</v>
      </c>
      <c r="D150" s="20" t="s">
        <v>504</v>
      </c>
      <c r="E150" s="20" t="s">
        <v>101</v>
      </c>
      <c r="F150" s="16">
        <v>39435.0</v>
      </c>
      <c r="G150" s="16">
        <v>41124.0</v>
      </c>
      <c r="H150" s="20">
        <f t="shared" si="1"/>
        <v>4.622222222</v>
      </c>
      <c r="I150" s="20" t="s">
        <v>505</v>
      </c>
    </row>
    <row r="151" ht="12.75" customHeight="1">
      <c r="A151" s="14" t="s">
        <v>506</v>
      </c>
      <c r="B151" s="14" t="s">
        <v>56</v>
      </c>
      <c r="C151" s="19" t="s">
        <v>45</v>
      </c>
      <c r="D151" s="14" t="s">
        <v>507</v>
      </c>
      <c r="E151" s="14" t="s">
        <v>508</v>
      </c>
      <c r="F151" s="16">
        <v>39454.0</v>
      </c>
      <c r="G151" s="16">
        <v>41411.0</v>
      </c>
      <c r="H151" s="17">
        <f t="shared" si="1"/>
        <v>5.361111111</v>
      </c>
      <c r="I151" s="14" t="s">
        <v>509</v>
      </c>
      <c r="J151" s="18"/>
    </row>
    <row r="152" ht="15.75" customHeight="1">
      <c r="A152" s="14" t="s">
        <v>510</v>
      </c>
      <c r="B152" s="19" t="s">
        <v>22</v>
      </c>
      <c r="C152" s="19" t="s">
        <v>45</v>
      </c>
      <c r="D152" s="20" t="s">
        <v>136</v>
      </c>
      <c r="E152" s="20" t="s">
        <v>38</v>
      </c>
      <c r="F152" s="16">
        <v>39444.0</v>
      </c>
      <c r="G152" s="16">
        <v>41935.0</v>
      </c>
      <c r="H152" s="20">
        <f t="shared" si="1"/>
        <v>6.819444444</v>
      </c>
      <c r="I152" s="20" t="s">
        <v>511</v>
      </c>
    </row>
    <row r="153" ht="15.75" hidden="1" customHeight="1">
      <c r="A153" s="14" t="s">
        <v>512</v>
      </c>
      <c r="B153" s="14"/>
      <c r="C153" s="12" t="s">
        <v>66</v>
      </c>
      <c r="D153" s="14" t="s">
        <v>513</v>
      </c>
      <c r="E153" s="14" t="s">
        <v>38</v>
      </c>
      <c r="F153" s="16">
        <v>39492.0</v>
      </c>
      <c r="G153" s="16">
        <v>39797.0</v>
      </c>
      <c r="H153" s="20">
        <f t="shared" si="1"/>
        <v>0.8361111111</v>
      </c>
      <c r="I153" s="20" t="s">
        <v>514</v>
      </c>
    </row>
    <row r="154" ht="15.75" hidden="1" customHeight="1">
      <c r="A154" s="14" t="s">
        <v>515</v>
      </c>
      <c r="B154" s="14"/>
      <c r="C154" s="12" t="s">
        <v>66</v>
      </c>
      <c r="D154" s="14" t="s">
        <v>516</v>
      </c>
      <c r="E154" s="14" t="s">
        <v>19</v>
      </c>
      <c r="F154" s="16">
        <v>39498.0</v>
      </c>
      <c r="G154" s="16">
        <v>39715.0</v>
      </c>
      <c r="H154" s="20">
        <f t="shared" si="1"/>
        <v>0.5944444444</v>
      </c>
      <c r="I154" s="20" t="s">
        <v>517</v>
      </c>
    </row>
    <row r="155" ht="15.75" customHeight="1">
      <c r="A155" s="14" t="s">
        <v>518</v>
      </c>
      <c r="B155" s="19" t="s">
        <v>27</v>
      </c>
      <c r="C155" s="19" t="s">
        <v>45</v>
      </c>
      <c r="D155" s="20" t="s">
        <v>519</v>
      </c>
      <c r="E155" s="20" t="s">
        <v>140</v>
      </c>
      <c r="F155" s="16">
        <v>39499.0</v>
      </c>
      <c r="G155" s="16">
        <v>40889.0</v>
      </c>
      <c r="H155" s="20">
        <f t="shared" si="1"/>
        <v>3.808333333</v>
      </c>
      <c r="I155" s="20" t="s">
        <v>520</v>
      </c>
    </row>
    <row r="156" ht="15.75" customHeight="1">
      <c r="A156" s="14" t="s">
        <v>521</v>
      </c>
      <c r="B156" s="19" t="s">
        <v>116</v>
      </c>
      <c r="C156" s="19" t="s">
        <v>45</v>
      </c>
      <c r="D156" s="20" t="s">
        <v>522</v>
      </c>
      <c r="E156" s="20" t="s">
        <v>63</v>
      </c>
      <c r="F156" s="16">
        <v>39498.0</v>
      </c>
      <c r="G156" s="16">
        <v>41333.0</v>
      </c>
      <c r="H156" s="20">
        <f t="shared" si="1"/>
        <v>5.022222222</v>
      </c>
      <c r="I156" s="20" t="s">
        <v>523</v>
      </c>
    </row>
    <row r="157" ht="15.75" customHeight="1">
      <c r="A157" s="14" t="s">
        <v>524</v>
      </c>
      <c r="B157" s="19" t="s">
        <v>27</v>
      </c>
      <c r="C157" s="19" t="s">
        <v>45</v>
      </c>
      <c r="D157" s="20" t="s">
        <v>525</v>
      </c>
      <c r="E157" s="20" t="s">
        <v>205</v>
      </c>
      <c r="F157" s="16">
        <v>39505.0</v>
      </c>
      <c r="G157" s="16">
        <v>42124.0</v>
      </c>
      <c r="H157" s="20">
        <f t="shared" si="1"/>
        <v>7.175</v>
      </c>
      <c r="I157" s="20" t="s">
        <v>526</v>
      </c>
    </row>
    <row r="158" ht="15.75" customHeight="1">
      <c r="A158" s="14" t="s">
        <v>527</v>
      </c>
      <c r="B158" s="19" t="s">
        <v>11</v>
      </c>
      <c r="C158" s="19" t="s">
        <v>45</v>
      </c>
      <c r="D158" s="20" t="s">
        <v>528</v>
      </c>
      <c r="E158" s="20" t="s">
        <v>529</v>
      </c>
      <c r="F158" s="16">
        <v>39498.0</v>
      </c>
      <c r="G158" s="16">
        <v>39888.0</v>
      </c>
      <c r="H158" s="20">
        <f t="shared" si="1"/>
        <v>1.072222222</v>
      </c>
      <c r="I158" s="20" t="s">
        <v>530</v>
      </c>
    </row>
    <row r="159" ht="15.75" customHeight="1">
      <c r="A159" s="14" t="s">
        <v>531</v>
      </c>
      <c r="B159" s="19" t="s">
        <v>116</v>
      </c>
      <c r="C159" s="19" t="s">
        <v>45</v>
      </c>
      <c r="D159" s="20" t="s">
        <v>532</v>
      </c>
      <c r="E159" s="20" t="s">
        <v>533</v>
      </c>
      <c r="F159" s="16">
        <v>39493.0</v>
      </c>
      <c r="G159" s="16">
        <v>40533.0</v>
      </c>
      <c r="H159" s="20">
        <f t="shared" si="1"/>
        <v>2.85</v>
      </c>
      <c r="I159" s="20" t="s">
        <v>534</v>
      </c>
    </row>
    <row r="160" ht="12.75" customHeight="1">
      <c r="A160" s="14" t="s">
        <v>535</v>
      </c>
      <c r="B160" s="14" t="s">
        <v>56</v>
      </c>
      <c r="C160" s="19" t="s">
        <v>45</v>
      </c>
      <c r="D160" s="14" t="s">
        <v>536</v>
      </c>
      <c r="E160" s="14" t="s">
        <v>19</v>
      </c>
      <c r="F160" s="16">
        <v>39505.0</v>
      </c>
      <c r="G160" s="16">
        <v>41963.0</v>
      </c>
      <c r="H160" s="17">
        <f t="shared" si="1"/>
        <v>6.730555556</v>
      </c>
      <c r="I160" s="14" t="s">
        <v>537</v>
      </c>
      <c r="J160" s="22"/>
    </row>
    <row r="161" ht="15.75" customHeight="1">
      <c r="A161" s="14" t="s">
        <v>538</v>
      </c>
      <c r="B161" s="19" t="s">
        <v>439</v>
      </c>
      <c r="C161" s="19" t="s">
        <v>45</v>
      </c>
      <c r="D161" s="20" t="s">
        <v>539</v>
      </c>
      <c r="E161" s="20" t="s">
        <v>34</v>
      </c>
      <c r="F161" s="16">
        <v>39504.0</v>
      </c>
      <c r="G161" s="16">
        <v>41124.0</v>
      </c>
      <c r="H161" s="20">
        <f t="shared" si="1"/>
        <v>4.436111111</v>
      </c>
      <c r="I161" s="20" t="s">
        <v>540</v>
      </c>
    </row>
    <row r="162" ht="15.75" customHeight="1">
      <c r="A162" s="14" t="s">
        <v>541</v>
      </c>
      <c r="B162" s="19" t="s">
        <v>22</v>
      </c>
      <c r="C162" s="19" t="s">
        <v>45</v>
      </c>
      <c r="D162" s="20" t="s">
        <v>542</v>
      </c>
      <c r="E162" s="20" t="s">
        <v>499</v>
      </c>
      <c r="F162" s="16">
        <v>39499.0</v>
      </c>
      <c r="G162" s="16">
        <v>40892.0</v>
      </c>
      <c r="H162" s="20">
        <f t="shared" si="1"/>
        <v>3.816666667</v>
      </c>
      <c r="I162" s="20" t="s">
        <v>543</v>
      </c>
    </row>
    <row r="163" ht="15.75" customHeight="1">
      <c r="A163" s="14" t="s">
        <v>544</v>
      </c>
      <c r="B163" s="19" t="s">
        <v>27</v>
      </c>
      <c r="C163" s="19" t="s">
        <v>45</v>
      </c>
      <c r="D163" s="20" t="s">
        <v>545</v>
      </c>
      <c r="E163" s="20" t="s">
        <v>546</v>
      </c>
      <c r="F163" s="16">
        <v>39497.0</v>
      </c>
      <c r="G163" s="16">
        <v>39974.0</v>
      </c>
      <c r="H163" s="20">
        <f t="shared" si="1"/>
        <v>1.308333333</v>
      </c>
      <c r="I163" s="20" t="s">
        <v>547</v>
      </c>
    </row>
    <row r="164" ht="15.75" customHeight="1">
      <c r="A164" s="14" t="s">
        <v>548</v>
      </c>
      <c r="B164" s="19" t="s">
        <v>61</v>
      </c>
      <c r="C164" s="19" t="s">
        <v>244</v>
      </c>
      <c r="D164" s="20" t="s">
        <v>549</v>
      </c>
      <c r="E164" s="20" t="s">
        <v>241</v>
      </c>
      <c r="F164" s="16">
        <v>39545.0</v>
      </c>
      <c r="G164" s="16">
        <v>40928.0</v>
      </c>
      <c r="H164" s="20">
        <f t="shared" si="1"/>
        <v>3.786111111</v>
      </c>
      <c r="I164" s="20" t="s">
        <v>550</v>
      </c>
    </row>
    <row r="165" ht="15.75" hidden="1" customHeight="1">
      <c r="A165" s="14" t="s">
        <v>551</v>
      </c>
      <c r="B165" s="14"/>
      <c r="C165" s="12" t="s">
        <v>66</v>
      </c>
      <c r="D165" s="14" t="s">
        <v>552</v>
      </c>
      <c r="E165" s="14" t="s">
        <v>124</v>
      </c>
      <c r="F165" s="16">
        <v>39548.0</v>
      </c>
      <c r="G165" s="16">
        <v>39822.0</v>
      </c>
      <c r="H165" s="20">
        <f t="shared" si="1"/>
        <v>0.7472222222</v>
      </c>
      <c r="I165" s="20" t="s">
        <v>553</v>
      </c>
    </row>
    <row r="166" ht="15.75" customHeight="1">
      <c r="A166" s="14" t="s">
        <v>554</v>
      </c>
      <c r="B166" s="19" t="s">
        <v>11</v>
      </c>
      <c r="C166" s="19" t="s">
        <v>555</v>
      </c>
      <c r="D166" s="20" t="s">
        <v>556</v>
      </c>
      <c r="E166" s="20" t="s">
        <v>58</v>
      </c>
      <c r="F166" s="16">
        <v>39548.0</v>
      </c>
      <c r="G166" s="16">
        <v>40147.0</v>
      </c>
      <c r="H166" s="20">
        <f t="shared" si="1"/>
        <v>1.638888889</v>
      </c>
      <c r="I166" s="20" t="s">
        <v>557</v>
      </c>
    </row>
    <row r="167" ht="15.75" customHeight="1">
      <c r="A167" s="14" t="s">
        <v>558</v>
      </c>
      <c r="B167" s="19" t="s">
        <v>61</v>
      </c>
      <c r="C167" s="24" t="s">
        <v>17</v>
      </c>
      <c r="D167" s="20" t="s">
        <v>559</v>
      </c>
      <c r="E167" s="20" t="s">
        <v>124</v>
      </c>
      <c r="F167" s="16">
        <v>39545.0</v>
      </c>
      <c r="G167" s="16">
        <v>40064.0</v>
      </c>
      <c r="H167" s="20">
        <f t="shared" si="1"/>
        <v>1.419444444</v>
      </c>
      <c r="I167" s="20" t="s">
        <v>560</v>
      </c>
      <c r="J167" s="5" t="s">
        <v>336</v>
      </c>
    </row>
    <row r="168" ht="15.75" customHeight="1">
      <c r="A168" s="14" t="s">
        <v>561</v>
      </c>
      <c r="B168" s="19" t="s">
        <v>27</v>
      </c>
      <c r="C168" s="19" t="s">
        <v>45</v>
      </c>
      <c r="D168" s="20" t="s">
        <v>562</v>
      </c>
      <c r="E168" s="20" t="s">
        <v>477</v>
      </c>
      <c r="F168" s="16">
        <v>39545.0</v>
      </c>
      <c r="G168" s="16">
        <v>42226.0</v>
      </c>
      <c r="H168" s="20">
        <f t="shared" si="1"/>
        <v>7.341666667</v>
      </c>
      <c r="I168" s="20" t="s">
        <v>563</v>
      </c>
    </row>
    <row r="169" ht="15.75" customHeight="1">
      <c r="A169" s="14" t="s">
        <v>564</v>
      </c>
      <c r="B169" s="19" t="s">
        <v>61</v>
      </c>
      <c r="C169" s="19" t="s">
        <v>45</v>
      </c>
      <c r="D169" s="20" t="s">
        <v>565</v>
      </c>
      <c r="E169" s="20" t="s">
        <v>14</v>
      </c>
      <c r="F169" s="16">
        <v>39548.0</v>
      </c>
      <c r="G169" s="16">
        <v>40990.0</v>
      </c>
      <c r="H169" s="20">
        <f t="shared" si="1"/>
        <v>3.95</v>
      </c>
      <c r="I169" s="20" t="s">
        <v>566</v>
      </c>
    </row>
    <row r="170" ht="15.75" customHeight="1">
      <c r="A170" s="14" t="s">
        <v>567</v>
      </c>
      <c r="B170" s="19" t="s">
        <v>22</v>
      </c>
      <c r="C170" s="19" t="s">
        <v>45</v>
      </c>
      <c r="D170" s="20" t="s">
        <v>568</v>
      </c>
      <c r="E170" s="20" t="s">
        <v>34</v>
      </c>
      <c r="F170" s="16">
        <v>39545.0</v>
      </c>
      <c r="G170" s="16">
        <v>40602.0</v>
      </c>
      <c r="H170" s="20">
        <f t="shared" si="1"/>
        <v>2.891666667</v>
      </c>
      <c r="I170" s="20" t="s">
        <v>569</v>
      </c>
    </row>
    <row r="171" ht="15.75" customHeight="1">
      <c r="A171" s="14" t="s">
        <v>570</v>
      </c>
      <c r="B171" s="19" t="s">
        <v>111</v>
      </c>
      <c r="C171" s="19" t="s">
        <v>45</v>
      </c>
      <c r="D171" s="20" t="s">
        <v>571</v>
      </c>
      <c r="E171" s="20" t="s">
        <v>572</v>
      </c>
      <c r="F171" s="16">
        <v>39546.0</v>
      </c>
      <c r="G171" s="16">
        <v>42460.0</v>
      </c>
      <c r="H171" s="20">
        <f t="shared" si="1"/>
        <v>7.980555556</v>
      </c>
      <c r="I171" s="20" t="s">
        <v>573</v>
      </c>
    </row>
    <row r="172" ht="15.75" customHeight="1">
      <c r="A172" s="14" t="s">
        <v>574</v>
      </c>
      <c r="B172" s="19" t="s">
        <v>22</v>
      </c>
      <c r="C172" s="19" t="s">
        <v>45</v>
      </c>
      <c r="D172" s="20" t="s">
        <v>136</v>
      </c>
      <c r="E172" s="20" t="s">
        <v>38</v>
      </c>
      <c r="F172" s="16">
        <v>39545.0</v>
      </c>
      <c r="G172" s="16">
        <v>41136.0</v>
      </c>
      <c r="H172" s="20">
        <f t="shared" si="1"/>
        <v>4.355555556</v>
      </c>
      <c r="I172" s="20" t="s">
        <v>575</v>
      </c>
    </row>
    <row r="173" ht="15.75" customHeight="1">
      <c r="A173" s="14" t="s">
        <v>576</v>
      </c>
      <c r="B173" s="19" t="s">
        <v>116</v>
      </c>
      <c r="C173" s="19" t="s">
        <v>45</v>
      </c>
      <c r="D173" s="20" t="s">
        <v>577</v>
      </c>
      <c r="E173" s="20" t="s">
        <v>58</v>
      </c>
      <c r="F173" s="16">
        <v>39546.0</v>
      </c>
      <c r="G173" s="16">
        <v>39981.0</v>
      </c>
      <c r="H173" s="20">
        <f t="shared" si="1"/>
        <v>1.191666667</v>
      </c>
      <c r="I173" s="20" t="s">
        <v>578</v>
      </c>
    </row>
    <row r="174" ht="12.75" customHeight="1">
      <c r="A174" s="14" t="s">
        <v>579</v>
      </c>
      <c r="B174" s="14" t="s">
        <v>56</v>
      </c>
      <c r="C174" s="19" t="s">
        <v>45</v>
      </c>
      <c r="D174" s="14" t="s">
        <v>580</v>
      </c>
      <c r="E174" s="14" t="s">
        <v>581</v>
      </c>
      <c r="F174" s="16">
        <v>39545.0</v>
      </c>
      <c r="G174" s="16">
        <v>41746.0</v>
      </c>
      <c r="H174" s="17">
        <f t="shared" si="1"/>
        <v>6.027777778</v>
      </c>
      <c r="I174" s="14" t="s">
        <v>582</v>
      </c>
      <c r="J174" s="18"/>
    </row>
    <row r="175" ht="15.75" customHeight="1">
      <c r="A175" s="14" t="s">
        <v>583</v>
      </c>
      <c r="B175" s="19" t="s">
        <v>584</v>
      </c>
      <c r="C175" s="19" t="s">
        <v>45</v>
      </c>
      <c r="D175" s="20" t="s">
        <v>585</v>
      </c>
      <c r="E175" s="20" t="s">
        <v>38</v>
      </c>
      <c r="F175" s="16">
        <v>39548.0</v>
      </c>
      <c r="G175" s="16">
        <v>40661.0</v>
      </c>
      <c r="H175" s="20">
        <f t="shared" si="1"/>
        <v>3.05</v>
      </c>
      <c r="I175" s="20" t="s">
        <v>586</v>
      </c>
    </row>
    <row r="176" ht="15.75" customHeight="1">
      <c r="A176" s="14" t="s">
        <v>587</v>
      </c>
      <c r="B176" s="19" t="s">
        <v>61</v>
      </c>
      <c r="C176" s="19" t="s">
        <v>45</v>
      </c>
      <c r="D176" s="20" t="s">
        <v>588</v>
      </c>
      <c r="E176" s="20" t="s">
        <v>499</v>
      </c>
      <c r="F176" s="16">
        <v>39547.0</v>
      </c>
      <c r="G176" s="16">
        <v>40050.0</v>
      </c>
      <c r="H176" s="20">
        <f t="shared" si="1"/>
        <v>1.377777778</v>
      </c>
      <c r="I176" s="20" t="s">
        <v>589</v>
      </c>
    </row>
    <row r="177" ht="15.75" customHeight="1">
      <c r="A177" s="14" t="s">
        <v>590</v>
      </c>
      <c r="B177" s="19" t="s">
        <v>27</v>
      </c>
      <c r="C177" s="19" t="s">
        <v>45</v>
      </c>
      <c r="D177" s="20" t="s">
        <v>591</v>
      </c>
      <c r="E177" s="20" t="s">
        <v>34</v>
      </c>
      <c r="F177" s="16">
        <v>39546.0</v>
      </c>
      <c r="G177" s="16">
        <v>40218.0</v>
      </c>
      <c r="H177" s="20">
        <f t="shared" si="1"/>
        <v>1.836111111</v>
      </c>
      <c r="I177" s="20" t="s">
        <v>592</v>
      </c>
    </row>
    <row r="178" ht="15.75" hidden="1" customHeight="1">
      <c r="A178" s="14" t="s">
        <v>593</v>
      </c>
      <c r="B178" s="14"/>
      <c r="C178" s="12" t="s">
        <v>66</v>
      </c>
      <c r="D178" s="20" t="s">
        <v>373</v>
      </c>
      <c r="E178" s="20" t="s">
        <v>14</v>
      </c>
      <c r="F178" s="16">
        <v>39548.0</v>
      </c>
      <c r="G178" s="16">
        <v>39688.0</v>
      </c>
      <c r="H178" s="20">
        <f t="shared" si="1"/>
        <v>0.3833333333</v>
      </c>
      <c r="I178" s="20" t="s">
        <v>594</v>
      </c>
    </row>
    <row r="179" ht="15.75" customHeight="1">
      <c r="A179" s="14" t="s">
        <v>595</v>
      </c>
      <c r="B179" s="19" t="s">
        <v>27</v>
      </c>
      <c r="C179" s="19" t="s">
        <v>45</v>
      </c>
      <c r="D179" s="20" t="s">
        <v>354</v>
      </c>
      <c r="E179" s="20" t="s">
        <v>124</v>
      </c>
      <c r="F179" s="16">
        <v>39547.0</v>
      </c>
      <c r="G179" s="16">
        <v>41159.0</v>
      </c>
      <c r="H179" s="20">
        <f t="shared" si="1"/>
        <v>4.411111111</v>
      </c>
      <c r="I179" s="20" t="s">
        <v>596</v>
      </c>
    </row>
    <row r="180" ht="15.75" customHeight="1">
      <c r="A180" s="14" t="s">
        <v>597</v>
      </c>
      <c r="B180" s="19" t="s">
        <v>11</v>
      </c>
      <c r="C180" s="19" t="s">
        <v>45</v>
      </c>
      <c r="D180" s="20" t="s">
        <v>41</v>
      </c>
      <c r="E180" s="20" t="s">
        <v>42</v>
      </c>
      <c r="F180" s="16">
        <v>39608.0</v>
      </c>
      <c r="G180" s="16">
        <v>40393.0</v>
      </c>
      <c r="H180" s="20">
        <f t="shared" si="1"/>
        <v>2.15</v>
      </c>
      <c r="I180" s="20" t="s">
        <v>598</v>
      </c>
    </row>
    <row r="181" ht="12.75" customHeight="1">
      <c r="A181" s="14" t="s">
        <v>599</v>
      </c>
      <c r="B181" s="14" t="s">
        <v>56</v>
      </c>
      <c r="C181" s="19" t="s">
        <v>45</v>
      </c>
      <c r="D181" s="20" t="s">
        <v>600</v>
      </c>
      <c r="E181" s="14" t="s">
        <v>71</v>
      </c>
      <c r="F181" s="16">
        <v>39609.0</v>
      </c>
      <c r="G181" s="16">
        <v>42228.0</v>
      </c>
      <c r="H181" s="17">
        <f t="shared" si="1"/>
        <v>7.172222222</v>
      </c>
      <c r="I181" s="14" t="s">
        <v>601</v>
      </c>
      <c r="J181" s="18"/>
    </row>
    <row r="182" ht="15.75" customHeight="1">
      <c r="A182" s="14" t="s">
        <v>602</v>
      </c>
      <c r="B182" s="19" t="s">
        <v>27</v>
      </c>
      <c r="C182" s="19" t="s">
        <v>45</v>
      </c>
      <c r="D182" s="20" t="s">
        <v>603</v>
      </c>
      <c r="E182" s="20" t="s">
        <v>140</v>
      </c>
      <c r="F182" s="16">
        <v>39612.0</v>
      </c>
      <c r="G182" s="16">
        <v>42935.0</v>
      </c>
      <c r="H182" s="20">
        <f t="shared" si="1"/>
        <v>9.1</v>
      </c>
      <c r="I182" s="20" t="s">
        <v>604</v>
      </c>
    </row>
    <row r="183" ht="15.75" customHeight="1">
      <c r="A183" s="14" t="s">
        <v>605</v>
      </c>
      <c r="B183" s="19" t="s">
        <v>61</v>
      </c>
      <c r="C183" s="19" t="s">
        <v>45</v>
      </c>
      <c r="D183" s="20" t="s">
        <v>308</v>
      </c>
      <c r="E183" s="20" t="s">
        <v>38</v>
      </c>
      <c r="F183" s="16">
        <v>39615.0</v>
      </c>
      <c r="G183" s="16">
        <v>41498.0</v>
      </c>
      <c r="H183" s="20">
        <f t="shared" si="1"/>
        <v>5.155555556</v>
      </c>
      <c r="I183" s="20" t="s">
        <v>606</v>
      </c>
    </row>
    <row r="184" ht="12.75" customHeight="1">
      <c r="A184" s="14" t="s">
        <v>607</v>
      </c>
      <c r="B184" s="14" t="s">
        <v>56</v>
      </c>
      <c r="C184" s="19" t="s">
        <v>45</v>
      </c>
      <c r="D184" s="14" t="s">
        <v>608</v>
      </c>
      <c r="E184" s="14" t="s">
        <v>124</v>
      </c>
      <c r="F184" s="16">
        <v>39608.0</v>
      </c>
      <c r="G184" s="16">
        <v>41159.0</v>
      </c>
      <c r="H184" s="17">
        <f t="shared" si="1"/>
        <v>4.244444444</v>
      </c>
      <c r="I184" s="14" t="s">
        <v>609</v>
      </c>
      <c r="J184" s="18"/>
    </row>
    <row r="185" ht="15.75" hidden="1" customHeight="1">
      <c r="A185" s="14" t="s">
        <v>610</v>
      </c>
      <c r="B185" s="14"/>
      <c r="C185" s="12" t="s">
        <v>66</v>
      </c>
      <c r="D185" s="20" t="s">
        <v>611</v>
      </c>
      <c r="E185" s="20" t="s">
        <v>58</v>
      </c>
      <c r="F185" s="16">
        <v>39608.0</v>
      </c>
      <c r="G185" s="16">
        <v>39710.0</v>
      </c>
      <c r="H185" s="20">
        <f t="shared" si="1"/>
        <v>0.2777777778</v>
      </c>
      <c r="I185" s="20" t="s">
        <v>612</v>
      </c>
    </row>
    <row r="186" ht="15.75" customHeight="1">
      <c r="A186" s="14" t="s">
        <v>613</v>
      </c>
      <c r="B186" s="19" t="s">
        <v>11</v>
      </c>
      <c r="C186" s="19" t="s">
        <v>45</v>
      </c>
      <c r="D186" s="20" t="s">
        <v>614</v>
      </c>
      <c r="E186" s="20" t="s">
        <v>19</v>
      </c>
      <c r="F186" s="16">
        <v>39609.0</v>
      </c>
      <c r="G186" s="16">
        <v>40527.0</v>
      </c>
      <c r="H186" s="20">
        <f t="shared" si="1"/>
        <v>2.513888889</v>
      </c>
      <c r="I186" s="20" t="s">
        <v>615</v>
      </c>
    </row>
    <row r="187" ht="15.75" customHeight="1">
      <c r="A187" s="14" t="s">
        <v>616</v>
      </c>
      <c r="B187" s="19" t="s">
        <v>11</v>
      </c>
      <c r="C187" s="19" t="s">
        <v>45</v>
      </c>
      <c r="D187" s="20" t="s">
        <v>617</v>
      </c>
      <c r="E187" s="20" t="s">
        <v>42</v>
      </c>
      <c r="F187" s="16">
        <v>39612.0</v>
      </c>
      <c r="G187" s="16">
        <v>40372.0</v>
      </c>
      <c r="H187" s="20">
        <f t="shared" si="1"/>
        <v>2.083333333</v>
      </c>
      <c r="I187" s="20" t="s">
        <v>618</v>
      </c>
    </row>
    <row r="188" ht="12.75" customHeight="1">
      <c r="A188" s="14" t="s">
        <v>619</v>
      </c>
      <c r="B188" s="14" t="s">
        <v>56</v>
      </c>
      <c r="C188" s="19" t="s">
        <v>45</v>
      </c>
      <c r="D188" s="20" t="s">
        <v>620</v>
      </c>
      <c r="E188" s="14" t="s">
        <v>38</v>
      </c>
      <c r="F188" s="16">
        <v>39615.0</v>
      </c>
      <c r="G188" s="16">
        <v>43336.0</v>
      </c>
      <c r="H188" s="17">
        <f t="shared" si="1"/>
        <v>10.18888889</v>
      </c>
      <c r="I188" s="14" t="s">
        <v>621</v>
      </c>
      <c r="J188" s="22"/>
    </row>
    <row r="189" ht="12.75" customHeight="1">
      <c r="A189" s="14" t="s">
        <v>622</v>
      </c>
      <c r="B189" s="14" t="s">
        <v>56</v>
      </c>
      <c r="C189" s="19" t="s">
        <v>45</v>
      </c>
      <c r="D189" s="14" t="s">
        <v>623</v>
      </c>
      <c r="E189" s="14" t="s">
        <v>160</v>
      </c>
      <c r="F189" s="16">
        <v>39604.0</v>
      </c>
      <c r="G189" s="16">
        <v>43024.0</v>
      </c>
      <c r="H189" s="17">
        <f t="shared" si="1"/>
        <v>9.363888889</v>
      </c>
      <c r="I189" s="14" t="s">
        <v>624</v>
      </c>
      <c r="J189" s="18"/>
    </row>
    <row r="190" ht="15.75" customHeight="1">
      <c r="A190" s="14" t="s">
        <v>625</v>
      </c>
      <c r="B190" s="19" t="s">
        <v>27</v>
      </c>
      <c r="C190" s="19" t="s">
        <v>45</v>
      </c>
      <c r="D190" s="20" t="s">
        <v>626</v>
      </c>
      <c r="E190" s="20" t="s">
        <v>205</v>
      </c>
      <c r="F190" s="16">
        <v>39605.0</v>
      </c>
      <c r="G190" s="16">
        <v>42636.0</v>
      </c>
      <c r="H190" s="20">
        <f t="shared" si="1"/>
        <v>8.297222222</v>
      </c>
      <c r="I190" s="20" t="s">
        <v>627</v>
      </c>
    </row>
    <row r="191" ht="15.75" customHeight="1">
      <c r="A191" s="14" t="s">
        <v>628</v>
      </c>
      <c r="B191" s="19" t="s">
        <v>61</v>
      </c>
      <c r="C191" s="19" t="s">
        <v>45</v>
      </c>
      <c r="D191" s="20" t="s">
        <v>629</v>
      </c>
      <c r="E191" s="20" t="s">
        <v>630</v>
      </c>
      <c r="F191" s="16">
        <v>39608.0</v>
      </c>
      <c r="G191" s="16">
        <v>40479.0</v>
      </c>
      <c r="H191" s="20">
        <f t="shared" si="1"/>
        <v>2.386111111</v>
      </c>
      <c r="I191" s="20" t="s">
        <v>631</v>
      </c>
    </row>
    <row r="192" ht="15.75" customHeight="1">
      <c r="A192" s="14" t="s">
        <v>632</v>
      </c>
      <c r="B192" s="19" t="s">
        <v>111</v>
      </c>
      <c r="C192" s="19" t="s">
        <v>45</v>
      </c>
      <c r="D192" s="20" t="s">
        <v>633</v>
      </c>
      <c r="E192" s="20" t="s">
        <v>19</v>
      </c>
      <c r="F192" s="16">
        <v>39609.0</v>
      </c>
      <c r="G192" s="16">
        <v>40032.0</v>
      </c>
      <c r="H192" s="20">
        <f t="shared" si="1"/>
        <v>1.158333333</v>
      </c>
      <c r="I192" s="20" t="s">
        <v>634</v>
      </c>
    </row>
    <row r="193" ht="15.75" customHeight="1">
      <c r="A193" s="14" t="s">
        <v>635</v>
      </c>
      <c r="B193" s="19" t="s">
        <v>116</v>
      </c>
      <c r="C193" s="19" t="s">
        <v>45</v>
      </c>
      <c r="D193" s="20" t="s">
        <v>539</v>
      </c>
      <c r="E193" s="20" t="s">
        <v>34</v>
      </c>
      <c r="F193" s="16">
        <v>39678.0</v>
      </c>
      <c r="G193" s="16">
        <v>40211.0</v>
      </c>
      <c r="H193" s="20">
        <f t="shared" si="1"/>
        <v>1.455555556</v>
      </c>
      <c r="I193" s="20" t="s">
        <v>636</v>
      </c>
    </row>
    <row r="194" ht="12.75" customHeight="1">
      <c r="A194" s="14" t="s">
        <v>637</v>
      </c>
      <c r="B194" s="14" t="s">
        <v>56</v>
      </c>
      <c r="C194" s="19" t="s">
        <v>244</v>
      </c>
      <c r="D194" s="20" t="s">
        <v>638</v>
      </c>
      <c r="E194" s="14" t="s">
        <v>124</v>
      </c>
      <c r="F194" s="16">
        <v>39678.0</v>
      </c>
      <c r="G194" s="16">
        <v>41521.0</v>
      </c>
      <c r="H194" s="17">
        <f t="shared" si="1"/>
        <v>5.044444444</v>
      </c>
      <c r="I194" s="14" t="s">
        <v>639</v>
      </c>
    </row>
    <row r="195" ht="15.75" customHeight="1">
      <c r="A195" s="14" t="s">
        <v>640</v>
      </c>
      <c r="B195" s="19" t="s">
        <v>27</v>
      </c>
      <c r="C195" s="19" t="s">
        <v>45</v>
      </c>
      <c r="D195" s="20" t="s">
        <v>641</v>
      </c>
      <c r="E195" s="20" t="s">
        <v>140</v>
      </c>
      <c r="F195" s="16">
        <v>39681.0</v>
      </c>
      <c r="G195" s="16">
        <v>41487.0</v>
      </c>
      <c r="H195" s="20">
        <f t="shared" si="1"/>
        <v>4.944444444</v>
      </c>
      <c r="I195" s="20" t="s">
        <v>642</v>
      </c>
    </row>
    <row r="196" ht="15.75" customHeight="1">
      <c r="A196" s="14" t="s">
        <v>643</v>
      </c>
      <c r="B196" s="19" t="s">
        <v>27</v>
      </c>
      <c r="C196" s="19" t="s">
        <v>112</v>
      </c>
      <c r="D196" s="20" t="s">
        <v>644</v>
      </c>
      <c r="E196" s="20" t="s">
        <v>645</v>
      </c>
      <c r="F196" s="16">
        <v>39678.0</v>
      </c>
      <c r="G196" s="16">
        <v>41136.0</v>
      </c>
      <c r="H196" s="20">
        <f t="shared" si="1"/>
        <v>3.991666667</v>
      </c>
      <c r="I196" s="20" t="s">
        <v>646</v>
      </c>
    </row>
    <row r="197" ht="12.75" customHeight="1">
      <c r="A197" s="14" t="s">
        <v>647</v>
      </c>
      <c r="B197" s="14" t="s">
        <v>56</v>
      </c>
      <c r="C197" s="19" t="s">
        <v>244</v>
      </c>
      <c r="D197" s="14" t="s">
        <v>648</v>
      </c>
      <c r="E197" s="14" t="s">
        <v>649</v>
      </c>
      <c r="F197" s="16">
        <v>39673.0</v>
      </c>
      <c r="G197" s="16">
        <v>40801.0</v>
      </c>
      <c r="H197" s="17">
        <f t="shared" si="1"/>
        <v>3.088888889</v>
      </c>
      <c r="I197" s="14" t="s">
        <v>650</v>
      </c>
      <c r="J197" s="18"/>
    </row>
    <row r="198" ht="15.75" customHeight="1">
      <c r="A198" s="14" t="s">
        <v>651</v>
      </c>
      <c r="B198" s="19" t="s">
        <v>22</v>
      </c>
      <c r="C198" s="19" t="s">
        <v>112</v>
      </c>
      <c r="D198" s="20" t="s">
        <v>652</v>
      </c>
      <c r="E198" s="20" t="s">
        <v>533</v>
      </c>
      <c r="F198" s="16">
        <v>39673.0</v>
      </c>
      <c r="G198" s="16">
        <v>42292.0</v>
      </c>
      <c r="H198" s="20">
        <f t="shared" si="1"/>
        <v>7.172222222</v>
      </c>
      <c r="I198" s="20" t="s">
        <v>653</v>
      </c>
    </row>
    <row r="199" ht="15.75" customHeight="1">
      <c r="A199" s="14" t="s">
        <v>654</v>
      </c>
      <c r="B199" s="19" t="s">
        <v>22</v>
      </c>
      <c r="C199" s="19" t="s">
        <v>112</v>
      </c>
      <c r="D199" s="20" t="s">
        <v>655</v>
      </c>
      <c r="E199" s="20" t="s">
        <v>38</v>
      </c>
      <c r="F199" s="16">
        <v>39678.0</v>
      </c>
      <c r="G199" s="16">
        <v>43041.0</v>
      </c>
      <c r="H199" s="20">
        <f t="shared" si="1"/>
        <v>9.205555556</v>
      </c>
      <c r="I199" s="20" t="s">
        <v>656</v>
      </c>
    </row>
    <row r="200" ht="15.75" customHeight="1">
      <c r="A200" s="14" t="s">
        <v>657</v>
      </c>
      <c r="B200" s="19" t="s">
        <v>27</v>
      </c>
      <c r="C200" s="19" t="s">
        <v>112</v>
      </c>
      <c r="D200" s="20" t="s">
        <v>658</v>
      </c>
      <c r="E200" s="20" t="s">
        <v>288</v>
      </c>
      <c r="F200" s="16">
        <v>39673.0</v>
      </c>
      <c r="G200" s="16">
        <v>41474.0</v>
      </c>
      <c r="H200" s="20">
        <f t="shared" si="1"/>
        <v>4.933333333</v>
      </c>
      <c r="I200" s="20" t="s">
        <v>659</v>
      </c>
    </row>
    <row r="201" ht="15.75" customHeight="1">
      <c r="A201" s="14" t="s">
        <v>660</v>
      </c>
      <c r="B201" s="19" t="s">
        <v>27</v>
      </c>
      <c r="C201" s="19" t="s">
        <v>112</v>
      </c>
      <c r="D201" s="20" t="s">
        <v>661</v>
      </c>
      <c r="E201" s="20" t="s">
        <v>662</v>
      </c>
      <c r="F201" s="16">
        <v>39673.0</v>
      </c>
      <c r="G201" s="16">
        <v>41093.0</v>
      </c>
      <c r="H201" s="20">
        <f t="shared" si="1"/>
        <v>3.888888889</v>
      </c>
      <c r="I201" s="20" t="s">
        <v>663</v>
      </c>
    </row>
    <row r="202" ht="12.75" customHeight="1">
      <c r="A202" s="14" t="s">
        <v>664</v>
      </c>
      <c r="B202" s="14" t="s">
        <v>56</v>
      </c>
      <c r="C202" s="19" t="s">
        <v>244</v>
      </c>
      <c r="D202" s="14" t="s">
        <v>665</v>
      </c>
      <c r="E202" s="14" t="s">
        <v>499</v>
      </c>
      <c r="F202" s="16">
        <v>39673.0</v>
      </c>
      <c r="G202" s="16">
        <v>40520.0</v>
      </c>
      <c r="H202" s="17">
        <f t="shared" si="1"/>
        <v>2.319444444</v>
      </c>
      <c r="I202" s="14" t="s">
        <v>666</v>
      </c>
      <c r="J202" s="18"/>
    </row>
    <row r="203" ht="15.75" customHeight="1">
      <c r="A203" s="14" t="s">
        <v>667</v>
      </c>
      <c r="B203" s="19" t="s">
        <v>61</v>
      </c>
      <c r="C203" s="19" t="s">
        <v>112</v>
      </c>
      <c r="D203" s="20" t="s">
        <v>668</v>
      </c>
      <c r="E203" s="20" t="s">
        <v>669</v>
      </c>
      <c r="F203" s="16">
        <v>39667.0</v>
      </c>
      <c r="G203" s="16">
        <v>41610.0</v>
      </c>
      <c r="H203" s="20">
        <f t="shared" si="1"/>
        <v>5.319444444</v>
      </c>
      <c r="I203" s="20" t="s">
        <v>670</v>
      </c>
    </row>
    <row r="204" ht="15.75" customHeight="1">
      <c r="A204" s="14" t="s">
        <v>671</v>
      </c>
      <c r="B204" s="19" t="s">
        <v>61</v>
      </c>
      <c r="C204" s="19" t="s">
        <v>112</v>
      </c>
      <c r="D204" s="20" t="s">
        <v>672</v>
      </c>
      <c r="E204" s="20" t="s">
        <v>572</v>
      </c>
      <c r="F204" s="16">
        <v>39728.0</v>
      </c>
      <c r="G204" s="16">
        <v>40532.0</v>
      </c>
      <c r="H204" s="20">
        <f t="shared" si="1"/>
        <v>2.202777778</v>
      </c>
      <c r="I204" s="20" t="s">
        <v>673</v>
      </c>
    </row>
    <row r="205" ht="15.75" customHeight="1">
      <c r="A205" s="14" t="s">
        <v>674</v>
      </c>
      <c r="B205" s="19" t="s">
        <v>116</v>
      </c>
      <c r="C205" s="19" t="s">
        <v>112</v>
      </c>
      <c r="D205" s="20" t="s">
        <v>528</v>
      </c>
      <c r="E205" s="20" t="s">
        <v>529</v>
      </c>
      <c r="F205" s="16">
        <v>39738.0</v>
      </c>
      <c r="G205" s="16">
        <v>40421.0</v>
      </c>
      <c r="H205" s="20">
        <f t="shared" si="1"/>
        <v>1.872222222</v>
      </c>
      <c r="I205" s="20" t="s">
        <v>675</v>
      </c>
    </row>
    <row r="206" ht="15.75" hidden="1" customHeight="1">
      <c r="A206" s="14" t="s">
        <v>676</v>
      </c>
      <c r="B206" s="14"/>
      <c r="C206" s="12" t="s">
        <v>66</v>
      </c>
      <c r="D206" s="20" t="s">
        <v>677</v>
      </c>
      <c r="E206" s="20" t="s">
        <v>678</v>
      </c>
      <c r="F206" s="16">
        <v>39729.0</v>
      </c>
      <c r="G206" s="16">
        <v>40085.0</v>
      </c>
      <c r="H206" s="20">
        <f t="shared" si="1"/>
        <v>0.975</v>
      </c>
      <c r="I206" s="20" t="s">
        <v>679</v>
      </c>
    </row>
    <row r="207" ht="15.75" customHeight="1">
      <c r="A207" s="14" t="s">
        <v>680</v>
      </c>
      <c r="B207" s="19" t="s">
        <v>61</v>
      </c>
      <c r="C207" s="19" t="s">
        <v>112</v>
      </c>
      <c r="D207" s="20" t="s">
        <v>681</v>
      </c>
      <c r="E207" s="20" t="s">
        <v>58</v>
      </c>
      <c r="F207" s="16">
        <v>39730.0</v>
      </c>
      <c r="G207" s="16">
        <v>41872.0</v>
      </c>
      <c r="H207" s="20">
        <f t="shared" si="1"/>
        <v>5.866666667</v>
      </c>
      <c r="I207" s="20" t="s">
        <v>682</v>
      </c>
    </row>
    <row r="208" ht="15.75" customHeight="1">
      <c r="A208" s="14" t="s">
        <v>683</v>
      </c>
      <c r="B208" s="19" t="s">
        <v>111</v>
      </c>
      <c r="C208" s="19" t="s">
        <v>112</v>
      </c>
      <c r="D208" s="20" t="s">
        <v>684</v>
      </c>
      <c r="E208" s="20" t="s">
        <v>124</v>
      </c>
      <c r="F208" s="16">
        <v>39730.0</v>
      </c>
      <c r="G208" s="16">
        <v>41101.0</v>
      </c>
      <c r="H208" s="20">
        <f t="shared" si="1"/>
        <v>3.755555556</v>
      </c>
      <c r="I208" s="20" t="s">
        <v>685</v>
      </c>
    </row>
    <row r="209" ht="15.75" customHeight="1">
      <c r="A209" s="14" t="s">
        <v>686</v>
      </c>
      <c r="B209" s="19" t="s">
        <v>61</v>
      </c>
      <c r="C209" s="19" t="s">
        <v>112</v>
      </c>
      <c r="D209" s="20" t="s">
        <v>687</v>
      </c>
      <c r="E209" s="20" t="s">
        <v>533</v>
      </c>
      <c r="F209" s="16">
        <v>39738.0</v>
      </c>
      <c r="G209" s="16">
        <v>40331.0</v>
      </c>
      <c r="H209" s="20">
        <f t="shared" si="1"/>
        <v>1.625</v>
      </c>
      <c r="I209" s="20" t="s">
        <v>688</v>
      </c>
    </row>
    <row r="210" ht="15.75" customHeight="1">
      <c r="A210" s="14" t="s">
        <v>689</v>
      </c>
      <c r="B210" s="19" t="s">
        <v>116</v>
      </c>
      <c r="C210" s="19" t="s">
        <v>112</v>
      </c>
      <c r="D210" s="20" t="s">
        <v>690</v>
      </c>
      <c r="E210" s="20" t="s">
        <v>454</v>
      </c>
      <c r="F210" s="16">
        <v>39728.0</v>
      </c>
      <c r="G210" s="16">
        <v>41471.0</v>
      </c>
      <c r="H210" s="20">
        <f t="shared" si="1"/>
        <v>4.775</v>
      </c>
      <c r="I210" s="20" t="s">
        <v>691</v>
      </c>
    </row>
    <row r="211" ht="15.75" customHeight="1">
      <c r="A211" s="14" t="s">
        <v>692</v>
      </c>
      <c r="B211" s="19" t="s">
        <v>111</v>
      </c>
      <c r="C211" s="19" t="s">
        <v>112</v>
      </c>
      <c r="D211" s="20" t="s">
        <v>693</v>
      </c>
      <c r="E211" s="20" t="s">
        <v>30</v>
      </c>
      <c r="F211" s="16">
        <v>39729.0</v>
      </c>
      <c r="G211" s="16">
        <v>40736.0</v>
      </c>
      <c r="H211" s="20">
        <f t="shared" si="1"/>
        <v>2.761111111</v>
      </c>
      <c r="I211" s="20" t="s">
        <v>694</v>
      </c>
    </row>
    <row r="212" ht="15.75" customHeight="1">
      <c r="A212" s="14" t="s">
        <v>695</v>
      </c>
      <c r="B212" s="19" t="s">
        <v>27</v>
      </c>
      <c r="C212" s="19" t="s">
        <v>244</v>
      </c>
      <c r="D212" s="20" t="s">
        <v>696</v>
      </c>
      <c r="E212" s="20" t="s">
        <v>697</v>
      </c>
      <c r="F212" s="16">
        <v>39742.0</v>
      </c>
      <c r="G212" s="16">
        <v>40394.0</v>
      </c>
      <c r="H212" s="20">
        <f t="shared" si="1"/>
        <v>1.786111111</v>
      </c>
      <c r="I212" s="20" t="s">
        <v>698</v>
      </c>
    </row>
    <row r="213" ht="12.75" customHeight="1">
      <c r="A213" s="14" t="s">
        <v>699</v>
      </c>
      <c r="B213" s="14" t="s">
        <v>56</v>
      </c>
      <c r="C213" s="19" t="s">
        <v>244</v>
      </c>
      <c r="D213" s="14" t="s">
        <v>700</v>
      </c>
      <c r="E213" s="14" t="s">
        <v>14</v>
      </c>
      <c r="F213" s="16">
        <v>39738.0</v>
      </c>
      <c r="G213" s="16">
        <v>41171.0</v>
      </c>
      <c r="H213" s="17">
        <f t="shared" si="1"/>
        <v>3.922222222</v>
      </c>
      <c r="I213" s="14" t="s">
        <v>701</v>
      </c>
      <c r="J213" s="18"/>
    </row>
    <row r="214" ht="15.75" customHeight="1">
      <c r="A214" s="14" t="s">
        <v>702</v>
      </c>
      <c r="B214" s="19" t="s">
        <v>116</v>
      </c>
      <c r="C214" s="19" t="s">
        <v>244</v>
      </c>
      <c r="D214" s="20" t="s">
        <v>703</v>
      </c>
      <c r="E214" s="20" t="s">
        <v>227</v>
      </c>
      <c r="F214" s="16">
        <v>39735.0</v>
      </c>
      <c r="G214" s="16">
        <v>41088.0</v>
      </c>
      <c r="H214" s="20">
        <f t="shared" si="1"/>
        <v>3.705555556</v>
      </c>
      <c r="I214" s="20" t="s">
        <v>704</v>
      </c>
    </row>
    <row r="215" ht="15.75" customHeight="1">
      <c r="A215" s="14" t="s">
        <v>705</v>
      </c>
      <c r="B215" s="19" t="s">
        <v>22</v>
      </c>
      <c r="C215" s="19" t="s">
        <v>244</v>
      </c>
      <c r="D215" s="20" t="s">
        <v>706</v>
      </c>
      <c r="E215" s="20" t="s">
        <v>707</v>
      </c>
      <c r="F215" s="16">
        <v>39731.0</v>
      </c>
      <c r="G215" s="16">
        <v>40875.0</v>
      </c>
      <c r="H215" s="20">
        <f t="shared" si="1"/>
        <v>3.133333333</v>
      </c>
      <c r="I215" s="20" t="s">
        <v>708</v>
      </c>
    </row>
    <row r="216" ht="15.75" customHeight="1">
      <c r="A216" s="14" t="s">
        <v>709</v>
      </c>
      <c r="B216" s="19" t="s">
        <v>439</v>
      </c>
      <c r="C216" s="19" t="s">
        <v>244</v>
      </c>
      <c r="D216" s="20" t="s">
        <v>139</v>
      </c>
      <c r="E216" s="20" t="s">
        <v>140</v>
      </c>
      <c r="F216" s="16">
        <v>39785.0</v>
      </c>
      <c r="G216" s="16">
        <v>40283.0</v>
      </c>
      <c r="H216" s="20">
        <f t="shared" si="1"/>
        <v>1.366666667</v>
      </c>
      <c r="I216" s="20" t="s">
        <v>710</v>
      </c>
    </row>
    <row r="217" ht="15.75" customHeight="1">
      <c r="A217" s="14" t="s">
        <v>711</v>
      </c>
      <c r="B217" s="19" t="s">
        <v>439</v>
      </c>
      <c r="C217" s="19" t="s">
        <v>244</v>
      </c>
      <c r="D217" s="20" t="s">
        <v>86</v>
      </c>
      <c r="E217" s="20" t="s">
        <v>19</v>
      </c>
      <c r="F217" s="16">
        <v>39787.0</v>
      </c>
      <c r="G217" s="16">
        <v>40801.0</v>
      </c>
      <c r="H217" s="20">
        <f t="shared" si="1"/>
        <v>2.777777778</v>
      </c>
      <c r="I217" s="20" t="s">
        <v>712</v>
      </c>
    </row>
    <row r="218" ht="15.75" customHeight="1">
      <c r="A218" s="14" t="s">
        <v>713</v>
      </c>
      <c r="B218" s="19" t="s">
        <v>61</v>
      </c>
      <c r="C218" s="19" t="s">
        <v>244</v>
      </c>
      <c r="D218" s="20" t="s">
        <v>714</v>
      </c>
      <c r="E218" s="20" t="s">
        <v>53</v>
      </c>
      <c r="F218" s="16">
        <v>39785.0</v>
      </c>
      <c r="G218" s="16">
        <v>41599.0</v>
      </c>
      <c r="H218" s="20">
        <f t="shared" si="1"/>
        <v>4.966666667</v>
      </c>
      <c r="I218" s="20" t="s">
        <v>715</v>
      </c>
    </row>
    <row r="219" ht="15.75" hidden="1" customHeight="1">
      <c r="A219" s="14" t="s">
        <v>716</v>
      </c>
      <c r="B219" s="14"/>
      <c r="C219" s="12" t="s">
        <v>66</v>
      </c>
      <c r="D219" s="20" t="s">
        <v>717</v>
      </c>
      <c r="E219" s="20" t="s">
        <v>339</v>
      </c>
      <c r="F219" s="16">
        <v>39793.0</v>
      </c>
      <c r="G219" s="16">
        <v>40056.0</v>
      </c>
      <c r="H219" s="20">
        <f t="shared" si="1"/>
        <v>0.7222222222</v>
      </c>
      <c r="I219" s="20" t="s">
        <v>718</v>
      </c>
    </row>
    <row r="220" ht="12.75" customHeight="1">
      <c r="A220" s="14" t="s">
        <v>719</v>
      </c>
      <c r="B220" s="14" t="s">
        <v>56</v>
      </c>
      <c r="C220" s="19" t="s">
        <v>244</v>
      </c>
      <c r="D220" s="14" t="s">
        <v>720</v>
      </c>
      <c r="E220" s="14" t="s">
        <v>38</v>
      </c>
      <c r="F220" s="16">
        <v>39794.0</v>
      </c>
      <c r="G220" s="16">
        <v>42648.0</v>
      </c>
      <c r="H220" s="17">
        <f t="shared" si="1"/>
        <v>7.813888889</v>
      </c>
      <c r="I220" s="14" t="s">
        <v>721</v>
      </c>
      <c r="J220" s="18"/>
    </row>
    <row r="221" ht="12.75" customHeight="1">
      <c r="A221" s="14" t="s">
        <v>722</v>
      </c>
      <c r="B221" s="14" t="s">
        <v>56</v>
      </c>
      <c r="C221" s="19" t="s">
        <v>244</v>
      </c>
      <c r="D221" s="14" t="s">
        <v>723</v>
      </c>
      <c r="E221" s="14" t="s">
        <v>124</v>
      </c>
      <c r="F221" s="16">
        <v>39784.0</v>
      </c>
      <c r="G221" s="16">
        <v>41485.0</v>
      </c>
      <c r="H221" s="17">
        <f t="shared" si="1"/>
        <v>4.661111111</v>
      </c>
      <c r="I221" s="14" t="s">
        <v>724</v>
      </c>
      <c r="J221" s="22"/>
    </row>
    <row r="222" ht="12.75" customHeight="1">
      <c r="A222" s="14" t="s">
        <v>725</v>
      </c>
      <c r="B222" s="14" t="s">
        <v>56</v>
      </c>
      <c r="C222" s="19" t="s">
        <v>244</v>
      </c>
      <c r="D222" s="27" t="s">
        <v>726</v>
      </c>
      <c r="E222" s="14" t="s">
        <v>124</v>
      </c>
      <c r="F222" s="16">
        <v>39785.0</v>
      </c>
      <c r="G222" s="16">
        <v>42241.0</v>
      </c>
      <c r="H222" s="17">
        <f t="shared" si="1"/>
        <v>6.727777778</v>
      </c>
      <c r="I222" s="14" t="s">
        <v>727</v>
      </c>
      <c r="J222" s="22"/>
    </row>
    <row r="223" ht="15.75" customHeight="1">
      <c r="A223" s="14" t="s">
        <v>728</v>
      </c>
      <c r="B223" s="19" t="s">
        <v>61</v>
      </c>
      <c r="C223" s="19" t="s">
        <v>45</v>
      </c>
      <c r="D223" s="20" t="s">
        <v>729</v>
      </c>
      <c r="E223" s="20" t="s">
        <v>669</v>
      </c>
      <c r="F223" s="16">
        <v>39784.0</v>
      </c>
      <c r="G223" s="16">
        <v>40413.0</v>
      </c>
      <c r="H223" s="20">
        <f t="shared" si="1"/>
        <v>1.725</v>
      </c>
      <c r="I223" s="20" t="s">
        <v>730</v>
      </c>
    </row>
    <row r="224" ht="15.75" customHeight="1">
      <c r="A224" s="14" t="s">
        <v>731</v>
      </c>
      <c r="B224" s="19" t="s">
        <v>116</v>
      </c>
      <c r="C224" s="19" t="s">
        <v>45</v>
      </c>
      <c r="D224" s="20" t="s">
        <v>732</v>
      </c>
      <c r="E224" s="20" t="s">
        <v>678</v>
      </c>
      <c r="F224" s="16">
        <v>39787.0</v>
      </c>
      <c r="G224" s="16">
        <v>40736.0</v>
      </c>
      <c r="H224" s="20">
        <f t="shared" si="1"/>
        <v>2.602777778</v>
      </c>
      <c r="I224" s="20" t="s">
        <v>733</v>
      </c>
    </row>
    <row r="225" ht="15.75" customHeight="1">
      <c r="A225" s="14" t="s">
        <v>734</v>
      </c>
      <c r="B225" s="19" t="s">
        <v>27</v>
      </c>
      <c r="C225" s="19" t="s">
        <v>45</v>
      </c>
      <c r="D225" s="20" t="s">
        <v>735</v>
      </c>
      <c r="E225" s="20" t="s">
        <v>205</v>
      </c>
      <c r="F225" s="16">
        <v>39784.0</v>
      </c>
      <c r="G225" s="16">
        <v>42642.0</v>
      </c>
      <c r="H225" s="20">
        <f t="shared" si="1"/>
        <v>7.825</v>
      </c>
      <c r="I225" s="20" t="s">
        <v>736</v>
      </c>
    </row>
    <row r="226" ht="15.75" customHeight="1">
      <c r="A226" s="14" t="s">
        <v>737</v>
      </c>
      <c r="B226" s="19" t="s">
        <v>22</v>
      </c>
      <c r="C226" s="19" t="s">
        <v>45</v>
      </c>
      <c r="D226" s="20" t="s">
        <v>738</v>
      </c>
      <c r="E226" s="20" t="s">
        <v>205</v>
      </c>
      <c r="F226" s="16">
        <v>39778.0</v>
      </c>
      <c r="G226" s="16">
        <v>41435.0</v>
      </c>
      <c r="H226" s="20">
        <f t="shared" si="1"/>
        <v>4.538888889</v>
      </c>
      <c r="I226" s="20" t="s">
        <v>739</v>
      </c>
    </row>
    <row r="227" ht="12.75" customHeight="1">
      <c r="A227" s="14" t="s">
        <v>740</v>
      </c>
      <c r="B227" s="19" t="s">
        <v>27</v>
      </c>
      <c r="C227" s="19" t="s">
        <v>45</v>
      </c>
      <c r="D227" s="20" t="s">
        <v>422</v>
      </c>
      <c r="E227" s="14" t="s">
        <v>423</v>
      </c>
      <c r="F227" s="16">
        <v>39785.0</v>
      </c>
      <c r="G227" s="16">
        <v>43291.0</v>
      </c>
      <c r="H227" s="17">
        <f t="shared" si="1"/>
        <v>9.602777778</v>
      </c>
      <c r="I227" s="19" t="s">
        <v>741</v>
      </c>
      <c r="J227" s="18"/>
    </row>
    <row r="228" ht="12.75" customHeight="1">
      <c r="A228" s="14" t="s">
        <v>742</v>
      </c>
      <c r="B228" s="19" t="s">
        <v>98</v>
      </c>
      <c r="C228" s="19" t="s">
        <v>45</v>
      </c>
      <c r="D228" s="14" t="s">
        <v>743</v>
      </c>
      <c r="E228" s="14" t="s">
        <v>477</v>
      </c>
      <c r="F228" s="16">
        <v>39854.0</v>
      </c>
      <c r="G228" s="16">
        <v>40396.0</v>
      </c>
      <c r="H228" s="17">
        <f t="shared" si="1"/>
        <v>1.488888889</v>
      </c>
      <c r="I228" s="14" t="s">
        <v>744</v>
      </c>
      <c r="J228" s="22"/>
    </row>
    <row r="229" ht="15.75" hidden="1" customHeight="1">
      <c r="A229" s="14" t="s">
        <v>745</v>
      </c>
      <c r="B229" s="14"/>
      <c r="C229" s="12" t="s">
        <v>66</v>
      </c>
      <c r="D229" s="20" t="s">
        <v>746</v>
      </c>
      <c r="E229" s="20" t="s">
        <v>34</v>
      </c>
      <c r="F229" s="16">
        <v>39854.0</v>
      </c>
      <c r="G229" s="16">
        <v>40056.0</v>
      </c>
      <c r="H229" s="20">
        <f t="shared" si="1"/>
        <v>0.5583333333</v>
      </c>
      <c r="I229" s="20" t="s">
        <v>747</v>
      </c>
    </row>
    <row r="230" ht="12.75" customHeight="1">
      <c r="A230" s="14" t="s">
        <v>748</v>
      </c>
      <c r="B230" s="14" t="s">
        <v>56</v>
      </c>
      <c r="C230" s="19" t="s">
        <v>244</v>
      </c>
      <c r="D230" s="14" t="s">
        <v>749</v>
      </c>
      <c r="E230" s="27" t="s">
        <v>58</v>
      </c>
      <c r="F230" s="16">
        <v>39854.0</v>
      </c>
      <c r="G230" s="16">
        <v>41830.0</v>
      </c>
      <c r="H230" s="17">
        <f t="shared" si="1"/>
        <v>5.416666667</v>
      </c>
      <c r="I230" s="14" t="s">
        <v>750</v>
      </c>
      <c r="J230" s="18"/>
    </row>
    <row r="231" ht="15.75" customHeight="1">
      <c r="A231" s="14" t="s">
        <v>751</v>
      </c>
      <c r="B231" s="19" t="s">
        <v>27</v>
      </c>
      <c r="C231" s="19" t="s">
        <v>45</v>
      </c>
      <c r="D231" s="20" t="s">
        <v>752</v>
      </c>
      <c r="E231" s="20" t="s">
        <v>58</v>
      </c>
      <c r="F231" s="16">
        <v>39867.0</v>
      </c>
      <c r="G231" s="16">
        <v>41493.0</v>
      </c>
      <c r="H231" s="20">
        <f t="shared" si="1"/>
        <v>4.455555556</v>
      </c>
      <c r="I231" s="20" t="s">
        <v>753</v>
      </c>
    </row>
    <row r="232" ht="15.75" customHeight="1">
      <c r="A232" s="14" t="s">
        <v>754</v>
      </c>
      <c r="B232" s="19" t="s">
        <v>22</v>
      </c>
      <c r="C232" s="19" t="s">
        <v>45</v>
      </c>
      <c r="D232" s="20" t="s">
        <v>755</v>
      </c>
      <c r="E232" s="20" t="s">
        <v>38</v>
      </c>
      <c r="F232" s="16">
        <v>39854.0</v>
      </c>
      <c r="G232" s="16">
        <v>42648.0</v>
      </c>
      <c r="H232" s="20">
        <f t="shared" si="1"/>
        <v>7.652777778</v>
      </c>
      <c r="I232" s="20" t="s">
        <v>756</v>
      </c>
    </row>
    <row r="233" ht="15.75" customHeight="1">
      <c r="A233" s="14" t="s">
        <v>757</v>
      </c>
      <c r="B233" s="19" t="s">
        <v>22</v>
      </c>
      <c r="C233" s="19" t="s">
        <v>45</v>
      </c>
      <c r="D233" s="20" t="s">
        <v>308</v>
      </c>
      <c r="E233" s="20" t="s">
        <v>38</v>
      </c>
      <c r="F233" s="16">
        <v>39855.0</v>
      </c>
      <c r="G233" s="16">
        <v>42303.0</v>
      </c>
      <c r="H233" s="20">
        <f t="shared" si="1"/>
        <v>6.708333333</v>
      </c>
      <c r="I233" s="20" t="s">
        <v>758</v>
      </c>
    </row>
    <row r="234" ht="15.75" customHeight="1">
      <c r="A234" s="14" t="s">
        <v>759</v>
      </c>
      <c r="B234" s="19" t="s">
        <v>22</v>
      </c>
      <c r="C234" s="19" t="s">
        <v>45</v>
      </c>
      <c r="D234" s="20" t="s">
        <v>760</v>
      </c>
      <c r="E234" s="20" t="s">
        <v>14</v>
      </c>
      <c r="F234" s="16">
        <v>39856.0</v>
      </c>
      <c r="G234" s="16">
        <v>40953.0</v>
      </c>
      <c r="H234" s="20">
        <f t="shared" si="1"/>
        <v>3.005555556</v>
      </c>
      <c r="I234" s="20" t="s">
        <v>761</v>
      </c>
    </row>
    <row r="235" ht="15.75" customHeight="1">
      <c r="A235" s="14" t="s">
        <v>762</v>
      </c>
      <c r="B235" s="19" t="s">
        <v>116</v>
      </c>
      <c r="C235" s="19" t="s">
        <v>45</v>
      </c>
      <c r="D235" s="20" t="s">
        <v>13</v>
      </c>
      <c r="E235" s="20" t="s">
        <v>14</v>
      </c>
      <c r="F235" s="16">
        <v>39857.0</v>
      </c>
      <c r="G235" s="16">
        <v>42345.0</v>
      </c>
      <c r="H235" s="20">
        <f t="shared" si="1"/>
        <v>6.816666667</v>
      </c>
      <c r="I235" s="20" t="s">
        <v>763</v>
      </c>
    </row>
    <row r="236" ht="15.75" customHeight="1">
      <c r="A236" s="14" t="s">
        <v>764</v>
      </c>
      <c r="B236" s="5" t="s">
        <v>27</v>
      </c>
      <c r="C236" s="19" t="s">
        <v>45</v>
      </c>
      <c r="D236" s="20" t="s">
        <v>765</v>
      </c>
      <c r="E236" s="20" t="s">
        <v>669</v>
      </c>
      <c r="F236" s="16">
        <v>39857.0</v>
      </c>
      <c r="G236" s="16">
        <v>41290.0</v>
      </c>
      <c r="H236" s="20">
        <f t="shared" si="1"/>
        <v>3.925</v>
      </c>
      <c r="I236" s="20" t="s">
        <v>766</v>
      </c>
    </row>
    <row r="237" ht="15.75" customHeight="1">
      <c r="A237" s="14" t="s">
        <v>767</v>
      </c>
      <c r="B237" s="19" t="s">
        <v>22</v>
      </c>
      <c r="C237" s="19" t="s">
        <v>244</v>
      </c>
      <c r="D237" s="20" t="s">
        <v>768</v>
      </c>
      <c r="E237" s="20" t="s">
        <v>38</v>
      </c>
      <c r="F237" s="16">
        <v>39853.0</v>
      </c>
      <c r="G237" s="16">
        <v>42912.0</v>
      </c>
      <c r="H237" s="20">
        <f t="shared" si="1"/>
        <v>8.380555556</v>
      </c>
      <c r="I237" s="20" t="s">
        <v>769</v>
      </c>
    </row>
    <row r="238" ht="15.75" customHeight="1">
      <c r="A238" s="14" t="s">
        <v>770</v>
      </c>
      <c r="B238" s="19" t="s">
        <v>439</v>
      </c>
      <c r="C238" s="21" t="s">
        <v>77</v>
      </c>
      <c r="D238" s="20" t="s">
        <v>600</v>
      </c>
      <c r="E238" s="20" t="s">
        <v>71</v>
      </c>
      <c r="F238" s="16">
        <v>39912.0</v>
      </c>
      <c r="G238" s="16">
        <v>41830.0</v>
      </c>
      <c r="H238" s="20">
        <f t="shared" si="1"/>
        <v>5.252777778</v>
      </c>
      <c r="I238" s="20" t="s">
        <v>771</v>
      </c>
      <c r="J238" s="5" t="s">
        <v>772</v>
      </c>
    </row>
    <row r="239" ht="15.75" customHeight="1">
      <c r="A239" s="14" t="s">
        <v>773</v>
      </c>
      <c r="B239" s="14"/>
      <c r="C239" s="19" t="s">
        <v>244</v>
      </c>
      <c r="D239" s="20" t="s">
        <v>774</v>
      </c>
      <c r="E239" s="20" t="s">
        <v>775</v>
      </c>
      <c r="F239" s="16">
        <v>39912.0</v>
      </c>
      <c r="G239" s="16">
        <v>40718.0</v>
      </c>
      <c r="H239" s="20">
        <f t="shared" si="1"/>
        <v>2.208333333</v>
      </c>
      <c r="I239" s="20" t="s">
        <v>776</v>
      </c>
    </row>
    <row r="240" ht="15.75" customHeight="1">
      <c r="A240" s="14" t="s">
        <v>777</v>
      </c>
      <c r="B240" s="19" t="s">
        <v>116</v>
      </c>
      <c r="C240" s="19" t="s">
        <v>244</v>
      </c>
      <c r="D240" s="20" t="s">
        <v>270</v>
      </c>
      <c r="E240" s="20" t="s">
        <v>101</v>
      </c>
      <c r="F240" s="16">
        <v>39917.0</v>
      </c>
      <c r="G240" s="16">
        <v>41773.0</v>
      </c>
      <c r="H240" s="20">
        <f t="shared" si="1"/>
        <v>5.083333333</v>
      </c>
      <c r="I240" s="20" t="s">
        <v>778</v>
      </c>
    </row>
    <row r="241" ht="15.75" customHeight="1">
      <c r="A241" s="14" t="s">
        <v>779</v>
      </c>
      <c r="B241" s="19" t="s">
        <v>111</v>
      </c>
      <c r="C241" s="19" t="s">
        <v>244</v>
      </c>
      <c r="D241" s="20" t="s">
        <v>780</v>
      </c>
      <c r="E241" s="20" t="s">
        <v>34</v>
      </c>
      <c r="F241" s="16">
        <v>39917.0</v>
      </c>
      <c r="G241" s="16">
        <v>41023.0</v>
      </c>
      <c r="H241" s="20">
        <f t="shared" si="1"/>
        <v>3.027777778</v>
      </c>
      <c r="I241" s="20" t="s">
        <v>781</v>
      </c>
    </row>
    <row r="242" ht="15.75" customHeight="1">
      <c r="A242" s="14" t="s">
        <v>782</v>
      </c>
      <c r="B242" s="19" t="s">
        <v>22</v>
      </c>
      <c r="C242" s="19" t="s">
        <v>244</v>
      </c>
      <c r="D242" s="20" t="s">
        <v>783</v>
      </c>
      <c r="E242" s="20" t="s">
        <v>38</v>
      </c>
      <c r="F242" s="16">
        <v>39912.0</v>
      </c>
      <c r="G242" s="16">
        <v>41835.0</v>
      </c>
      <c r="H242" s="20">
        <f t="shared" si="1"/>
        <v>5.266666667</v>
      </c>
      <c r="I242" s="20" t="s">
        <v>784</v>
      </c>
    </row>
    <row r="243" ht="15.75" customHeight="1">
      <c r="A243" s="14" t="s">
        <v>785</v>
      </c>
      <c r="B243" s="19" t="s">
        <v>61</v>
      </c>
      <c r="C243" s="19" t="s">
        <v>244</v>
      </c>
      <c r="D243" s="20" t="s">
        <v>49</v>
      </c>
      <c r="E243" s="20" t="s">
        <v>14</v>
      </c>
      <c r="F243" s="16">
        <v>39918.0</v>
      </c>
      <c r="G243" s="16">
        <v>41162.0</v>
      </c>
      <c r="H243" s="20">
        <f t="shared" si="1"/>
        <v>3.402777778</v>
      </c>
      <c r="I243" s="20" t="s">
        <v>786</v>
      </c>
    </row>
    <row r="244" ht="12.75" customHeight="1">
      <c r="A244" s="14" t="s">
        <v>787</v>
      </c>
      <c r="B244" s="14" t="s">
        <v>56</v>
      </c>
      <c r="C244" s="19" t="s">
        <v>244</v>
      </c>
      <c r="D244" s="14" t="s">
        <v>788</v>
      </c>
      <c r="E244" s="14" t="s">
        <v>14</v>
      </c>
      <c r="F244" s="16">
        <v>39913.0</v>
      </c>
      <c r="G244" s="16">
        <v>41134.0</v>
      </c>
      <c r="H244" s="17">
        <f t="shared" si="1"/>
        <v>3.341666667</v>
      </c>
      <c r="I244" s="14" t="s">
        <v>789</v>
      </c>
      <c r="J244" s="18"/>
    </row>
    <row r="245" ht="15.75" customHeight="1">
      <c r="A245" s="14" t="s">
        <v>790</v>
      </c>
      <c r="B245" s="19" t="s">
        <v>22</v>
      </c>
      <c r="C245" s="19" t="s">
        <v>244</v>
      </c>
      <c r="D245" s="20" t="s">
        <v>37</v>
      </c>
      <c r="E245" s="20" t="s">
        <v>38</v>
      </c>
      <c r="F245" s="16">
        <v>39974.0</v>
      </c>
      <c r="G245" s="16">
        <v>41761.0</v>
      </c>
      <c r="H245" s="20">
        <f t="shared" si="1"/>
        <v>4.894444444</v>
      </c>
      <c r="I245" s="20" t="s">
        <v>791</v>
      </c>
    </row>
    <row r="246" ht="12.75" customHeight="1">
      <c r="A246" s="14" t="s">
        <v>792</v>
      </c>
      <c r="B246" s="14" t="s">
        <v>56</v>
      </c>
      <c r="C246" s="19" t="s">
        <v>244</v>
      </c>
      <c r="D246" s="14" t="s">
        <v>793</v>
      </c>
      <c r="E246" s="14" t="s">
        <v>124</v>
      </c>
      <c r="F246" s="16">
        <v>39979.0</v>
      </c>
      <c r="G246" s="16">
        <v>42282.0</v>
      </c>
      <c r="H246" s="17">
        <f t="shared" si="1"/>
        <v>6.305555556</v>
      </c>
      <c r="I246" s="14" t="s">
        <v>794</v>
      </c>
      <c r="J246" s="18"/>
    </row>
    <row r="247" ht="15.75" customHeight="1">
      <c r="A247" s="14" t="s">
        <v>795</v>
      </c>
      <c r="B247" s="19" t="s">
        <v>439</v>
      </c>
      <c r="C247" s="19" t="s">
        <v>112</v>
      </c>
      <c r="D247" s="20" t="s">
        <v>565</v>
      </c>
      <c r="E247" s="20" t="s">
        <v>14</v>
      </c>
      <c r="F247" s="16">
        <v>39990.0</v>
      </c>
      <c r="G247" s="16">
        <v>41484.0</v>
      </c>
      <c r="H247" s="20">
        <f t="shared" si="1"/>
        <v>4.091666667</v>
      </c>
      <c r="I247" s="20" t="s">
        <v>796</v>
      </c>
    </row>
    <row r="248" ht="15.75" customHeight="1">
      <c r="A248" s="14" t="s">
        <v>797</v>
      </c>
      <c r="B248" s="19" t="s">
        <v>61</v>
      </c>
      <c r="C248" s="19" t="s">
        <v>112</v>
      </c>
      <c r="D248" s="20" t="s">
        <v>798</v>
      </c>
      <c r="E248" s="20" t="s">
        <v>324</v>
      </c>
      <c r="F248" s="16">
        <v>39973.0</v>
      </c>
      <c r="G248" s="16">
        <v>40351.0</v>
      </c>
      <c r="H248" s="20">
        <f t="shared" si="1"/>
        <v>1.036111111</v>
      </c>
      <c r="I248" s="20" t="s">
        <v>799</v>
      </c>
    </row>
    <row r="249" ht="15.75" customHeight="1">
      <c r="A249" s="14" t="s">
        <v>800</v>
      </c>
      <c r="B249" s="19" t="s">
        <v>98</v>
      </c>
      <c r="C249" s="19" t="s">
        <v>112</v>
      </c>
      <c r="D249" s="20" t="s">
        <v>153</v>
      </c>
      <c r="E249" s="20" t="s">
        <v>124</v>
      </c>
      <c r="F249" s="16">
        <v>39981.0</v>
      </c>
      <c r="G249" s="16">
        <v>40751.0</v>
      </c>
      <c r="H249" s="20">
        <f t="shared" si="1"/>
        <v>2.111111111</v>
      </c>
      <c r="I249" s="20" t="s">
        <v>801</v>
      </c>
    </row>
    <row r="250" ht="15.75" hidden="1" customHeight="1">
      <c r="A250" s="14" t="s">
        <v>802</v>
      </c>
      <c r="B250" s="14"/>
      <c r="C250" s="12" t="s">
        <v>66</v>
      </c>
      <c r="D250" s="20" t="s">
        <v>803</v>
      </c>
      <c r="E250" s="20" t="s">
        <v>529</v>
      </c>
      <c r="F250" s="16">
        <v>39988.0</v>
      </c>
      <c r="G250" s="16">
        <v>40156.0</v>
      </c>
      <c r="H250" s="20">
        <f t="shared" si="1"/>
        <v>0.4583333333</v>
      </c>
      <c r="I250" s="20" t="s">
        <v>804</v>
      </c>
    </row>
    <row r="251" ht="15.75" customHeight="1">
      <c r="A251" s="14" t="s">
        <v>805</v>
      </c>
      <c r="B251" s="19" t="s">
        <v>439</v>
      </c>
      <c r="C251" s="19" t="s">
        <v>112</v>
      </c>
      <c r="D251" s="20" t="s">
        <v>234</v>
      </c>
      <c r="E251" s="20" t="s">
        <v>14</v>
      </c>
      <c r="F251" s="16">
        <v>39975.0</v>
      </c>
      <c r="G251" s="16">
        <v>41023.0</v>
      </c>
      <c r="H251" s="20">
        <f t="shared" si="1"/>
        <v>2.869444444</v>
      </c>
      <c r="I251" s="20" t="s">
        <v>806</v>
      </c>
    </row>
    <row r="252" ht="12.75" customHeight="1">
      <c r="A252" s="14" t="s">
        <v>807</v>
      </c>
      <c r="B252" s="14" t="s">
        <v>56</v>
      </c>
      <c r="C252" s="19" t="s">
        <v>112</v>
      </c>
      <c r="D252" s="15" t="s">
        <v>440</v>
      </c>
      <c r="E252" s="15" t="s">
        <v>160</v>
      </c>
      <c r="F252" s="16">
        <v>39973.0</v>
      </c>
      <c r="G252" s="16">
        <v>42863.0</v>
      </c>
      <c r="H252" s="17">
        <f t="shared" si="1"/>
        <v>7.913888889</v>
      </c>
      <c r="I252" s="14" t="s">
        <v>808</v>
      </c>
      <c r="J252" s="18"/>
    </row>
    <row r="253" ht="15.75" customHeight="1">
      <c r="A253" s="14" t="s">
        <v>809</v>
      </c>
      <c r="B253" s="19" t="s">
        <v>22</v>
      </c>
      <c r="C253" s="19" t="s">
        <v>112</v>
      </c>
      <c r="D253" s="20" t="s">
        <v>95</v>
      </c>
      <c r="E253" s="20" t="s">
        <v>38</v>
      </c>
      <c r="F253" s="16">
        <v>39974.0</v>
      </c>
      <c r="G253" s="16">
        <v>41520.0</v>
      </c>
      <c r="H253" s="20">
        <f t="shared" si="1"/>
        <v>4.230555556</v>
      </c>
      <c r="I253" s="20" t="s">
        <v>810</v>
      </c>
    </row>
    <row r="254" ht="15.75" customHeight="1">
      <c r="A254" s="14" t="s">
        <v>811</v>
      </c>
      <c r="B254" s="19" t="s">
        <v>116</v>
      </c>
      <c r="C254" s="19" t="s">
        <v>812</v>
      </c>
      <c r="D254" s="20" t="s">
        <v>813</v>
      </c>
      <c r="E254" s="20" t="s">
        <v>205</v>
      </c>
      <c r="F254" s="16">
        <v>39972.0</v>
      </c>
      <c r="G254" s="16">
        <v>43406.0</v>
      </c>
      <c r="H254" s="20">
        <f t="shared" si="1"/>
        <v>9.4</v>
      </c>
      <c r="I254" s="5" t="s">
        <v>814</v>
      </c>
    </row>
    <row r="255" ht="15.75" customHeight="1">
      <c r="A255" s="14" t="s">
        <v>815</v>
      </c>
      <c r="B255" s="19" t="s">
        <v>27</v>
      </c>
      <c r="C255" s="19" t="s">
        <v>112</v>
      </c>
      <c r="D255" s="20" t="s">
        <v>49</v>
      </c>
      <c r="E255" s="20" t="s">
        <v>14</v>
      </c>
      <c r="F255" s="16">
        <v>39995.0</v>
      </c>
      <c r="G255" s="16">
        <v>41830.0</v>
      </c>
      <c r="H255" s="20">
        <f t="shared" si="1"/>
        <v>5.025</v>
      </c>
      <c r="I255" s="20" t="s">
        <v>816</v>
      </c>
    </row>
    <row r="256" ht="15.75" customHeight="1">
      <c r="A256" s="14" t="s">
        <v>817</v>
      </c>
      <c r="B256" s="19" t="s">
        <v>61</v>
      </c>
      <c r="C256" s="19" t="s">
        <v>112</v>
      </c>
      <c r="D256" s="20" t="s">
        <v>818</v>
      </c>
      <c r="E256" s="20" t="s">
        <v>339</v>
      </c>
      <c r="F256" s="16">
        <v>39974.0</v>
      </c>
      <c r="G256" s="16">
        <v>42117.0</v>
      </c>
      <c r="H256" s="20">
        <f t="shared" si="1"/>
        <v>5.869444444</v>
      </c>
      <c r="I256" s="20" t="s">
        <v>819</v>
      </c>
    </row>
    <row r="257" ht="15.75" customHeight="1">
      <c r="A257" s="14" t="s">
        <v>820</v>
      </c>
      <c r="B257" s="14" t="s">
        <v>56</v>
      </c>
      <c r="C257" s="19" t="s">
        <v>112</v>
      </c>
      <c r="D257" s="15" t="s">
        <v>821</v>
      </c>
      <c r="E257" s="15" t="s">
        <v>822</v>
      </c>
      <c r="F257" s="16">
        <v>39975.0</v>
      </c>
      <c r="G257" s="16">
        <v>41884.0</v>
      </c>
      <c r="H257" s="17">
        <f t="shared" si="1"/>
        <v>5.225</v>
      </c>
      <c r="I257" s="14" t="s">
        <v>823</v>
      </c>
    </row>
    <row r="258" ht="15.75" customHeight="1">
      <c r="A258" s="14" t="s">
        <v>824</v>
      </c>
      <c r="B258" s="19" t="s">
        <v>11</v>
      </c>
      <c r="C258" s="19" t="s">
        <v>112</v>
      </c>
      <c r="D258" s="20" t="s">
        <v>825</v>
      </c>
      <c r="E258" s="20" t="s">
        <v>381</v>
      </c>
      <c r="F258" s="16">
        <v>39975.0</v>
      </c>
      <c r="G258" s="16">
        <v>43448.0</v>
      </c>
      <c r="H258" s="20">
        <f t="shared" si="1"/>
        <v>9.508333333</v>
      </c>
      <c r="I258" s="20" t="s">
        <v>826</v>
      </c>
    </row>
    <row r="259" ht="15.75" customHeight="1">
      <c r="A259" s="14" t="s">
        <v>827</v>
      </c>
      <c r="B259" s="19" t="s">
        <v>27</v>
      </c>
      <c r="C259" s="19" t="s">
        <v>112</v>
      </c>
      <c r="D259" s="20" t="s">
        <v>828</v>
      </c>
      <c r="E259" s="20" t="s">
        <v>477</v>
      </c>
      <c r="F259" s="16">
        <v>39973.0</v>
      </c>
      <c r="G259" s="16">
        <v>42324.0</v>
      </c>
      <c r="H259" s="20">
        <f t="shared" si="1"/>
        <v>6.436111111</v>
      </c>
      <c r="I259" s="20" t="s">
        <v>829</v>
      </c>
    </row>
    <row r="260" ht="15.75" customHeight="1">
      <c r="A260" s="14" t="s">
        <v>830</v>
      </c>
      <c r="B260" s="19" t="s">
        <v>22</v>
      </c>
      <c r="C260" s="19" t="s">
        <v>112</v>
      </c>
      <c r="D260" s="20" t="s">
        <v>831</v>
      </c>
      <c r="E260" s="20" t="s">
        <v>38</v>
      </c>
      <c r="F260" s="16">
        <v>39975.0</v>
      </c>
      <c r="G260" s="16">
        <v>42657.0</v>
      </c>
      <c r="H260" s="20">
        <f t="shared" si="1"/>
        <v>7.341666667</v>
      </c>
      <c r="I260" s="20" t="s">
        <v>832</v>
      </c>
    </row>
    <row r="261" ht="15.75" customHeight="1">
      <c r="A261" s="14" t="s">
        <v>833</v>
      </c>
      <c r="B261" s="19" t="s">
        <v>98</v>
      </c>
      <c r="C261" s="19" t="s">
        <v>112</v>
      </c>
      <c r="D261" s="20" t="s">
        <v>834</v>
      </c>
      <c r="E261" s="20" t="s">
        <v>835</v>
      </c>
      <c r="F261" s="16">
        <v>39982.0</v>
      </c>
      <c r="G261" s="16">
        <v>41477.0</v>
      </c>
      <c r="H261" s="20">
        <f t="shared" si="1"/>
        <v>4.094444444</v>
      </c>
      <c r="I261" s="20" t="s">
        <v>836</v>
      </c>
    </row>
    <row r="262" ht="15.75" customHeight="1">
      <c r="A262" s="14" t="s">
        <v>837</v>
      </c>
      <c r="B262" s="19" t="s">
        <v>61</v>
      </c>
      <c r="C262" s="19" t="s">
        <v>112</v>
      </c>
      <c r="D262" s="20" t="s">
        <v>838</v>
      </c>
      <c r="E262" s="20" t="s">
        <v>284</v>
      </c>
      <c r="F262" s="16">
        <v>39976.0</v>
      </c>
      <c r="G262" s="16">
        <v>41477.0</v>
      </c>
      <c r="H262" s="20">
        <f t="shared" si="1"/>
        <v>4.111111111</v>
      </c>
      <c r="I262" s="20" t="s">
        <v>839</v>
      </c>
    </row>
    <row r="263" ht="15.75" customHeight="1">
      <c r="A263" s="14" t="s">
        <v>840</v>
      </c>
      <c r="B263" s="19" t="s">
        <v>22</v>
      </c>
      <c r="C263" s="19" t="s">
        <v>112</v>
      </c>
      <c r="D263" s="20" t="s">
        <v>841</v>
      </c>
      <c r="E263" s="20" t="s">
        <v>177</v>
      </c>
      <c r="F263" s="16">
        <v>39973.0</v>
      </c>
      <c r="G263" s="16">
        <v>41281.0</v>
      </c>
      <c r="H263" s="20">
        <f t="shared" si="1"/>
        <v>3.577777778</v>
      </c>
      <c r="I263" s="20" t="s">
        <v>842</v>
      </c>
    </row>
    <row r="264" ht="15.75" customHeight="1">
      <c r="A264" s="14" t="s">
        <v>843</v>
      </c>
      <c r="B264" s="19" t="s">
        <v>111</v>
      </c>
      <c r="C264" s="19" t="s">
        <v>112</v>
      </c>
      <c r="D264" s="20" t="s">
        <v>844</v>
      </c>
      <c r="E264" s="20" t="s">
        <v>71</v>
      </c>
      <c r="F264" s="16">
        <v>39974.0</v>
      </c>
      <c r="G264" s="16">
        <v>41844.0</v>
      </c>
      <c r="H264" s="20">
        <f t="shared" si="1"/>
        <v>5.122222222</v>
      </c>
      <c r="I264" s="20" t="s">
        <v>845</v>
      </c>
    </row>
    <row r="265" ht="15.75" customHeight="1">
      <c r="A265" s="14" t="s">
        <v>846</v>
      </c>
      <c r="B265" s="19" t="s">
        <v>61</v>
      </c>
      <c r="C265" s="19" t="s">
        <v>112</v>
      </c>
      <c r="D265" s="20" t="s">
        <v>847</v>
      </c>
      <c r="E265" s="20" t="s">
        <v>477</v>
      </c>
      <c r="F265" s="16">
        <v>39974.0</v>
      </c>
      <c r="G265" s="16">
        <v>41145.0</v>
      </c>
      <c r="H265" s="20">
        <f t="shared" si="1"/>
        <v>3.205555556</v>
      </c>
      <c r="I265" s="20" t="s">
        <v>848</v>
      </c>
    </row>
    <row r="266" ht="15.75" customHeight="1">
      <c r="A266" s="19" t="s">
        <v>849</v>
      </c>
      <c r="B266" s="19" t="s">
        <v>22</v>
      </c>
      <c r="C266" s="19" t="s">
        <v>112</v>
      </c>
      <c r="D266" s="20" t="s">
        <v>720</v>
      </c>
      <c r="E266" s="20" t="s">
        <v>38</v>
      </c>
      <c r="F266" s="16">
        <v>39974.0</v>
      </c>
      <c r="G266" s="16">
        <v>42585.0</v>
      </c>
      <c r="H266" s="20">
        <f t="shared" si="1"/>
        <v>7.147222222</v>
      </c>
      <c r="I266" s="20" t="s">
        <v>850</v>
      </c>
    </row>
    <row r="267" ht="15.75" customHeight="1">
      <c r="A267" s="14" t="s">
        <v>851</v>
      </c>
      <c r="B267" s="19" t="s">
        <v>116</v>
      </c>
      <c r="C267" s="19" t="s">
        <v>45</v>
      </c>
      <c r="D267" s="20" t="s">
        <v>519</v>
      </c>
      <c r="E267" s="20" t="s">
        <v>140</v>
      </c>
      <c r="F267" s="16">
        <v>39982.0</v>
      </c>
      <c r="G267" s="16">
        <v>41418.0</v>
      </c>
      <c r="H267" s="20">
        <f t="shared" si="1"/>
        <v>3.933333333</v>
      </c>
      <c r="I267" s="20" t="s">
        <v>852</v>
      </c>
    </row>
    <row r="268" ht="15.75" customHeight="1">
      <c r="A268" s="14" t="s">
        <v>853</v>
      </c>
      <c r="B268" s="19" t="s">
        <v>22</v>
      </c>
      <c r="C268" s="19" t="s">
        <v>45</v>
      </c>
      <c r="D268" s="20" t="s">
        <v>854</v>
      </c>
      <c r="E268" s="20" t="s">
        <v>209</v>
      </c>
      <c r="F268" s="16">
        <v>39981.0</v>
      </c>
      <c r="G268" s="16">
        <v>43158.0</v>
      </c>
      <c r="H268" s="20">
        <f t="shared" si="1"/>
        <v>8.694444444</v>
      </c>
      <c r="I268" s="20" t="s">
        <v>855</v>
      </c>
    </row>
    <row r="269" ht="15.75" customHeight="1">
      <c r="A269" s="14" t="s">
        <v>856</v>
      </c>
      <c r="B269" s="19" t="s">
        <v>27</v>
      </c>
      <c r="C269" s="19" t="s">
        <v>45</v>
      </c>
      <c r="D269" s="20" t="s">
        <v>525</v>
      </c>
      <c r="E269" s="20" t="s">
        <v>205</v>
      </c>
      <c r="F269" s="16">
        <v>39987.0</v>
      </c>
      <c r="G269" s="16">
        <v>41221.0</v>
      </c>
      <c r="H269" s="20">
        <f t="shared" si="1"/>
        <v>3.375</v>
      </c>
      <c r="I269" s="20" t="s">
        <v>857</v>
      </c>
    </row>
    <row r="270" ht="15.75" customHeight="1">
      <c r="A270" s="14" t="s">
        <v>858</v>
      </c>
      <c r="B270" s="19" t="s">
        <v>116</v>
      </c>
      <c r="C270" s="19" t="s">
        <v>45</v>
      </c>
      <c r="D270" s="20" t="s">
        <v>859</v>
      </c>
      <c r="E270" s="20" t="s">
        <v>630</v>
      </c>
      <c r="F270" s="16">
        <v>40066.0</v>
      </c>
      <c r="G270" s="16">
        <v>41015.0</v>
      </c>
      <c r="H270" s="20">
        <f t="shared" si="1"/>
        <v>2.6</v>
      </c>
      <c r="I270" s="20" t="s">
        <v>860</v>
      </c>
    </row>
    <row r="271" ht="15.75" customHeight="1">
      <c r="A271" s="14" t="s">
        <v>861</v>
      </c>
      <c r="B271" s="19" t="s">
        <v>22</v>
      </c>
      <c r="C271" s="19" t="s">
        <v>45</v>
      </c>
      <c r="D271" s="20" t="s">
        <v>108</v>
      </c>
      <c r="E271" s="20" t="s">
        <v>38</v>
      </c>
      <c r="F271" s="16">
        <v>40032.0</v>
      </c>
      <c r="G271" s="16">
        <v>42849.0</v>
      </c>
      <c r="H271" s="20">
        <f t="shared" si="1"/>
        <v>7.713888889</v>
      </c>
      <c r="I271" s="20" t="s">
        <v>862</v>
      </c>
    </row>
    <row r="272" ht="15.75" customHeight="1">
      <c r="A272" s="14" t="s">
        <v>863</v>
      </c>
      <c r="B272" s="19" t="s">
        <v>22</v>
      </c>
      <c r="C272" s="19" t="s">
        <v>45</v>
      </c>
      <c r="D272" s="20" t="s">
        <v>864</v>
      </c>
      <c r="E272" s="20" t="s">
        <v>38</v>
      </c>
      <c r="F272" s="16">
        <v>40036.0</v>
      </c>
      <c r="G272" s="16">
        <v>42107.0</v>
      </c>
      <c r="H272" s="20">
        <f t="shared" si="1"/>
        <v>5.672222222</v>
      </c>
      <c r="I272" s="20" t="s">
        <v>865</v>
      </c>
    </row>
    <row r="273" ht="15.75" customHeight="1">
      <c r="A273" s="14" t="s">
        <v>866</v>
      </c>
      <c r="B273" s="19" t="s">
        <v>22</v>
      </c>
      <c r="C273" s="19" t="s">
        <v>45</v>
      </c>
      <c r="D273" s="20" t="s">
        <v>867</v>
      </c>
      <c r="E273" s="20" t="s">
        <v>477</v>
      </c>
      <c r="F273" s="16">
        <v>40036.0</v>
      </c>
      <c r="G273" s="16">
        <v>40479.0</v>
      </c>
      <c r="H273" s="20">
        <f t="shared" si="1"/>
        <v>1.213888889</v>
      </c>
      <c r="I273" s="20" t="s">
        <v>868</v>
      </c>
    </row>
    <row r="274" ht="15.75" customHeight="1">
      <c r="A274" s="14" t="s">
        <v>869</v>
      </c>
      <c r="B274" s="19" t="s">
        <v>439</v>
      </c>
      <c r="C274" s="19" t="s">
        <v>112</v>
      </c>
      <c r="D274" s="20" t="s">
        <v>577</v>
      </c>
      <c r="E274" s="20" t="s">
        <v>58</v>
      </c>
      <c r="F274" s="16">
        <v>40044.0</v>
      </c>
      <c r="G274" s="16">
        <v>42664.0</v>
      </c>
      <c r="H274" s="20">
        <f t="shared" si="1"/>
        <v>7.172222222</v>
      </c>
      <c r="I274" s="20" t="s">
        <v>870</v>
      </c>
    </row>
    <row r="275" ht="15.75" customHeight="1">
      <c r="A275" s="14" t="s">
        <v>871</v>
      </c>
      <c r="B275" s="19" t="s">
        <v>22</v>
      </c>
      <c r="C275" s="19" t="s">
        <v>112</v>
      </c>
      <c r="D275" s="20" t="s">
        <v>831</v>
      </c>
      <c r="E275" s="20" t="s">
        <v>38</v>
      </c>
      <c r="F275" s="16">
        <v>40036.0</v>
      </c>
      <c r="G275" s="16">
        <v>42136.0</v>
      </c>
      <c r="H275" s="20">
        <f t="shared" si="1"/>
        <v>5.752777778</v>
      </c>
      <c r="I275" s="20" t="s">
        <v>872</v>
      </c>
    </row>
    <row r="276" ht="12.75" customHeight="1">
      <c r="A276" s="14" t="s">
        <v>873</v>
      </c>
      <c r="B276" s="19" t="s">
        <v>116</v>
      </c>
      <c r="C276" s="19" t="s">
        <v>112</v>
      </c>
      <c r="D276" s="20" t="s">
        <v>874</v>
      </c>
      <c r="E276" s="20" t="s">
        <v>499</v>
      </c>
      <c r="F276" s="16">
        <v>40036.0</v>
      </c>
      <c r="G276" s="16">
        <v>40749.0</v>
      </c>
      <c r="H276" s="20">
        <f t="shared" si="1"/>
        <v>1.955555556</v>
      </c>
      <c r="I276" s="20" t="s">
        <v>875</v>
      </c>
      <c r="J276" s="22"/>
    </row>
    <row r="277" ht="15.75" customHeight="1">
      <c r="A277" s="14" t="s">
        <v>876</v>
      </c>
      <c r="B277" s="14" t="s">
        <v>56</v>
      </c>
      <c r="C277" s="19" t="s">
        <v>244</v>
      </c>
      <c r="D277" s="15" t="s">
        <v>877</v>
      </c>
      <c r="E277" s="15" t="s">
        <v>19</v>
      </c>
      <c r="F277" s="16">
        <v>40042.0</v>
      </c>
      <c r="G277" s="16">
        <v>43403.0</v>
      </c>
      <c r="H277" s="17">
        <f t="shared" si="1"/>
        <v>9.202777778</v>
      </c>
      <c r="I277" s="14" t="s">
        <v>878</v>
      </c>
    </row>
    <row r="278" ht="15.75" customHeight="1">
      <c r="A278" s="14" t="s">
        <v>879</v>
      </c>
      <c r="B278" s="19" t="s">
        <v>22</v>
      </c>
      <c r="C278" s="19" t="s">
        <v>112</v>
      </c>
      <c r="D278" s="20" t="s">
        <v>831</v>
      </c>
      <c r="E278" s="20" t="s">
        <v>38</v>
      </c>
      <c r="F278" s="16">
        <v>40036.0</v>
      </c>
      <c r="G278" s="16">
        <v>42663.0</v>
      </c>
      <c r="H278" s="20">
        <f t="shared" si="1"/>
        <v>7.191666667</v>
      </c>
      <c r="I278" s="20" t="s">
        <v>880</v>
      </c>
    </row>
    <row r="279" ht="12.75" customHeight="1">
      <c r="A279" s="14" t="s">
        <v>881</v>
      </c>
      <c r="B279" s="19" t="s">
        <v>61</v>
      </c>
      <c r="C279" s="19" t="s">
        <v>112</v>
      </c>
      <c r="D279" s="20" t="s">
        <v>532</v>
      </c>
      <c r="E279" s="20" t="s">
        <v>533</v>
      </c>
      <c r="F279" s="16">
        <v>40102.0</v>
      </c>
      <c r="G279" s="16">
        <v>43481.0</v>
      </c>
      <c r="H279" s="20">
        <f t="shared" si="1"/>
        <v>9.25</v>
      </c>
      <c r="I279" s="20" t="s">
        <v>882</v>
      </c>
      <c r="J279" s="18"/>
    </row>
    <row r="280" ht="15.75" customHeight="1">
      <c r="A280" s="19" t="s">
        <v>883</v>
      </c>
      <c r="B280" s="19" t="s">
        <v>98</v>
      </c>
      <c r="C280" s="19" t="s">
        <v>112</v>
      </c>
      <c r="D280" s="20" t="s">
        <v>884</v>
      </c>
      <c r="E280" s="20" t="s">
        <v>885</v>
      </c>
      <c r="F280" s="16">
        <v>40092.0</v>
      </c>
      <c r="G280" s="16">
        <v>41873.0</v>
      </c>
      <c r="H280" s="20">
        <f t="shared" si="1"/>
        <v>4.877777778</v>
      </c>
      <c r="I280" s="20" t="s">
        <v>886</v>
      </c>
    </row>
    <row r="281" ht="15.75" customHeight="1">
      <c r="A281" s="14" t="s">
        <v>887</v>
      </c>
      <c r="B281" s="5" t="s">
        <v>116</v>
      </c>
      <c r="C281" s="19" t="s">
        <v>112</v>
      </c>
      <c r="D281" s="20" t="s">
        <v>888</v>
      </c>
      <c r="E281" s="20" t="s">
        <v>288</v>
      </c>
      <c r="F281" s="16">
        <v>40092.0</v>
      </c>
      <c r="G281" s="16">
        <v>41080.0</v>
      </c>
      <c r="H281" s="20">
        <f t="shared" si="1"/>
        <v>2.705555556</v>
      </c>
      <c r="I281" s="20" t="s">
        <v>889</v>
      </c>
    </row>
    <row r="282" ht="15.75" customHeight="1">
      <c r="A282" s="14" t="s">
        <v>890</v>
      </c>
      <c r="B282" s="19" t="s">
        <v>116</v>
      </c>
      <c r="C282" s="19" t="s">
        <v>112</v>
      </c>
      <c r="D282" s="20" t="s">
        <v>891</v>
      </c>
      <c r="E282" s="20" t="s">
        <v>227</v>
      </c>
      <c r="F282" s="16">
        <v>40092.0</v>
      </c>
      <c r="G282" s="16">
        <v>42276.0</v>
      </c>
      <c r="H282" s="20">
        <f t="shared" si="1"/>
        <v>5.980555556</v>
      </c>
      <c r="I282" s="20" t="s">
        <v>892</v>
      </c>
    </row>
    <row r="283" ht="15.75" customHeight="1">
      <c r="A283" s="14" t="s">
        <v>893</v>
      </c>
      <c r="B283" s="19" t="s">
        <v>22</v>
      </c>
      <c r="C283" s="19" t="s">
        <v>112</v>
      </c>
      <c r="D283" s="20" t="s">
        <v>620</v>
      </c>
      <c r="E283" s="20" t="s">
        <v>38</v>
      </c>
      <c r="F283" s="16">
        <v>40092.0</v>
      </c>
      <c r="G283" s="16">
        <v>43067.0</v>
      </c>
      <c r="H283" s="20">
        <f t="shared" si="1"/>
        <v>8.144444444</v>
      </c>
      <c r="I283" s="20" t="s">
        <v>894</v>
      </c>
    </row>
    <row r="284" ht="12.75" customHeight="1">
      <c r="A284" s="14" t="s">
        <v>895</v>
      </c>
      <c r="B284" s="14" t="s">
        <v>56</v>
      </c>
      <c r="C284" s="19" t="s">
        <v>244</v>
      </c>
      <c r="D284" s="15" t="s">
        <v>896</v>
      </c>
      <c r="E284" s="15" t="s">
        <v>324</v>
      </c>
      <c r="F284" s="16">
        <v>40092.0</v>
      </c>
      <c r="G284" s="16">
        <v>42824.0</v>
      </c>
      <c r="H284" s="17">
        <f t="shared" si="1"/>
        <v>7.483333333</v>
      </c>
      <c r="I284" s="14" t="s">
        <v>897</v>
      </c>
      <c r="J284" s="18"/>
    </row>
    <row r="285" ht="12.75" customHeight="1">
      <c r="A285" s="14" t="s">
        <v>898</v>
      </c>
      <c r="B285" s="19" t="s">
        <v>27</v>
      </c>
      <c r="C285" s="19" t="s">
        <v>112</v>
      </c>
      <c r="D285" s="20" t="s">
        <v>899</v>
      </c>
      <c r="E285" s="20" t="s">
        <v>697</v>
      </c>
      <c r="F285" s="16">
        <v>40087.0</v>
      </c>
      <c r="G285" s="16">
        <v>41918.0</v>
      </c>
      <c r="H285" s="20">
        <f t="shared" si="1"/>
        <v>5.013888889</v>
      </c>
      <c r="I285" s="20" t="s">
        <v>900</v>
      </c>
      <c r="J285" s="25"/>
    </row>
    <row r="286" ht="15.75" customHeight="1">
      <c r="A286" s="14" t="s">
        <v>901</v>
      </c>
      <c r="B286" s="5" t="s">
        <v>116</v>
      </c>
      <c r="C286" s="19" t="s">
        <v>112</v>
      </c>
      <c r="D286" s="20" t="s">
        <v>752</v>
      </c>
      <c r="E286" s="20" t="s">
        <v>58</v>
      </c>
      <c r="F286" s="16">
        <v>40095.0</v>
      </c>
      <c r="G286" s="16">
        <v>41941.0</v>
      </c>
      <c r="H286" s="20">
        <f t="shared" si="1"/>
        <v>5.055555556</v>
      </c>
      <c r="I286" s="20" t="s">
        <v>902</v>
      </c>
    </row>
    <row r="287" ht="15.75" customHeight="1">
      <c r="A287" s="14" t="s">
        <v>903</v>
      </c>
      <c r="B287" s="21" t="s">
        <v>904</v>
      </c>
      <c r="C287" s="19" t="s">
        <v>112</v>
      </c>
      <c r="D287" s="20" t="s">
        <v>905</v>
      </c>
      <c r="E287" s="20" t="s">
        <v>34</v>
      </c>
      <c r="F287" s="16">
        <v>40095.0</v>
      </c>
      <c r="G287" s="16">
        <v>41277.0</v>
      </c>
      <c r="H287" s="20">
        <f t="shared" si="1"/>
        <v>3.233333333</v>
      </c>
      <c r="I287" s="20" t="s">
        <v>906</v>
      </c>
    </row>
    <row r="288" ht="15.75" customHeight="1">
      <c r="A288" s="14" t="s">
        <v>907</v>
      </c>
      <c r="B288" s="19" t="s">
        <v>116</v>
      </c>
      <c r="C288" s="19" t="s">
        <v>244</v>
      </c>
      <c r="D288" s="20" t="s">
        <v>908</v>
      </c>
      <c r="E288" s="20" t="s">
        <v>529</v>
      </c>
      <c r="F288" s="16">
        <v>40095.0</v>
      </c>
      <c r="G288" s="16">
        <v>40801.0</v>
      </c>
      <c r="H288" s="20">
        <f t="shared" si="1"/>
        <v>1.933333333</v>
      </c>
      <c r="I288" s="20" t="s">
        <v>909</v>
      </c>
    </row>
    <row r="289" ht="15.75" customHeight="1">
      <c r="A289" s="14" t="s">
        <v>910</v>
      </c>
      <c r="B289" s="19" t="s">
        <v>27</v>
      </c>
      <c r="C289" s="19" t="s">
        <v>45</v>
      </c>
      <c r="D289" s="15" t="s">
        <v>911</v>
      </c>
      <c r="E289" s="15" t="s">
        <v>454</v>
      </c>
      <c r="F289" s="16">
        <v>40093.0</v>
      </c>
      <c r="G289" s="16">
        <v>40875.0</v>
      </c>
      <c r="H289" s="17">
        <f t="shared" si="1"/>
        <v>2.141666667</v>
      </c>
      <c r="I289" s="19" t="s">
        <v>912</v>
      </c>
    </row>
    <row r="290" ht="15.75" customHeight="1">
      <c r="A290" s="14" t="s">
        <v>913</v>
      </c>
      <c r="B290" s="14" t="s">
        <v>27</v>
      </c>
      <c r="C290" s="19" t="s">
        <v>45</v>
      </c>
      <c r="D290" s="20" t="s">
        <v>914</v>
      </c>
      <c r="E290" s="20" t="s">
        <v>218</v>
      </c>
      <c r="F290" s="16">
        <v>40087.0</v>
      </c>
      <c r="G290" s="16">
        <v>43469.0</v>
      </c>
      <c r="H290" s="20">
        <f t="shared" si="1"/>
        <v>9.258333333</v>
      </c>
      <c r="I290" s="20" t="s">
        <v>915</v>
      </c>
      <c r="J290" s="5" t="s">
        <v>916</v>
      </c>
    </row>
    <row r="291" ht="15.75" customHeight="1">
      <c r="A291" s="14" t="s">
        <v>917</v>
      </c>
      <c r="B291" s="14" t="s">
        <v>27</v>
      </c>
      <c r="C291" s="19" t="s">
        <v>45</v>
      </c>
      <c r="D291" s="20" t="s">
        <v>918</v>
      </c>
      <c r="E291" s="20" t="s">
        <v>38</v>
      </c>
      <c r="F291" s="16">
        <v>40095.0</v>
      </c>
      <c r="G291" s="16">
        <v>40548.0</v>
      </c>
      <c r="H291" s="20">
        <f t="shared" si="1"/>
        <v>1.238888889</v>
      </c>
      <c r="I291" s="20" t="s">
        <v>919</v>
      </c>
    </row>
    <row r="292" ht="15.75" customHeight="1">
      <c r="A292" s="14" t="s">
        <v>920</v>
      </c>
      <c r="B292" s="14" t="s">
        <v>116</v>
      </c>
      <c r="C292" s="19" t="s">
        <v>45</v>
      </c>
      <c r="D292" s="20" t="s">
        <v>354</v>
      </c>
      <c r="E292" s="20" t="s">
        <v>124</v>
      </c>
      <c r="F292" s="16">
        <v>40151.0</v>
      </c>
      <c r="G292" s="16">
        <v>41158.0</v>
      </c>
      <c r="H292" s="20">
        <f t="shared" si="1"/>
        <v>2.755555556</v>
      </c>
      <c r="I292" s="20" t="s">
        <v>921</v>
      </c>
    </row>
    <row r="293" ht="15.75" customHeight="1">
      <c r="A293" s="14" t="s">
        <v>922</v>
      </c>
      <c r="B293" s="14" t="s">
        <v>27</v>
      </c>
      <c r="C293" s="19" t="s">
        <v>45</v>
      </c>
      <c r="D293" s="20" t="s">
        <v>923</v>
      </c>
      <c r="E293" s="20" t="s">
        <v>924</v>
      </c>
      <c r="F293" s="16">
        <v>40150.0</v>
      </c>
      <c r="G293" s="16">
        <v>43572.0</v>
      </c>
      <c r="H293" s="20">
        <f t="shared" si="1"/>
        <v>9.372222222</v>
      </c>
      <c r="I293" s="20" t="s">
        <v>925</v>
      </c>
    </row>
    <row r="294" ht="12.75" customHeight="1">
      <c r="A294" s="14" t="s">
        <v>926</v>
      </c>
      <c r="B294" s="14" t="s">
        <v>439</v>
      </c>
      <c r="C294" s="19" t="s">
        <v>45</v>
      </c>
      <c r="D294" s="14" t="s">
        <v>743</v>
      </c>
      <c r="E294" s="15" t="s">
        <v>477</v>
      </c>
      <c r="F294" s="16">
        <v>40149.0</v>
      </c>
      <c r="G294" s="16">
        <v>40994.0</v>
      </c>
      <c r="H294" s="17">
        <f t="shared" si="1"/>
        <v>2.316666667</v>
      </c>
      <c r="I294" s="14" t="s">
        <v>927</v>
      </c>
      <c r="J294" s="18"/>
    </row>
    <row r="295" ht="15.75" customHeight="1">
      <c r="A295" s="14" t="s">
        <v>928</v>
      </c>
      <c r="B295" s="14" t="s">
        <v>116</v>
      </c>
      <c r="C295" s="19" t="s">
        <v>45</v>
      </c>
      <c r="D295" s="20" t="s">
        <v>929</v>
      </c>
      <c r="E295" s="20" t="s">
        <v>19</v>
      </c>
      <c r="F295" s="16">
        <v>40149.0</v>
      </c>
      <c r="G295" s="16">
        <v>41102.0</v>
      </c>
      <c r="H295" s="20">
        <f t="shared" si="1"/>
        <v>2.611111111</v>
      </c>
      <c r="I295" s="20" t="s">
        <v>930</v>
      </c>
    </row>
    <row r="296" ht="12.75" customHeight="1">
      <c r="A296" s="14" t="s">
        <v>931</v>
      </c>
      <c r="B296" s="14" t="s">
        <v>56</v>
      </c>
      <c r="C296" s="19" t="s">
        <v>45</v>
      </c>
      <c r="D296" s="20" t="s">
        <v>932</v>
      </c>
      <c r="E296" s="15" t="s">
        <v>124</v>
      </c>
      <c r="F296" s="16">
        <v>40149.0</v>
      </c>
      <c r="G296" s="16">
        <v>41761.0</v>
      </c>
      <c r="H296" s="17">
        <f t="shared" si="1"/>
        <v>4.416666667</v>
      </c>
      <c r="I296" s="14" t="s">
        <v>933</v>
      </c>
      <c r="J296" s="18"/>
    </row>
    <row r="297" ht="15.75" customHeight="1">
      <c r="A297" s="14" t="s">
        <v>934</v>
      </c>
      <c r="B297" s="14" t="s">
        <v>116</v>
      </c>
      <c r="C297" s="19" t="s">
        <v>45</v>
      </c>
      <c r="D297" s="20" t="s">
        <v>935</v>
      </c>
      <c r="E297" s="20" t="s">
        <v>30</v>
      </c>
      <c r="F297" s="16">
        <v>40150.0</v>
      </c>
      <c r="G297" s="16">
        <v>41102.0</v>
      </c>
      <c r="H297" s="20">
        <f t="shared" si="1"/>
        <v>2.608333333</v>
      </c>
      <c r="I297" s="20" t="s">
        <v>936</v>
      </c>
    </row>
    <row r="298" ht="15.75" customHeight="1">
      <c r="A298" s="14" t="s">
        <v>937</v>
      </c>
      <c r="B298" s="14" t="s">
        <v>11</v>
      </c>
      <c r="C298" s="19" t="s">
        <v>45</v>
      </c>
      <c r="D298" s="20" t="s">
        <v>938</v>
      </c>
      <c r="E298" s="20" t="s">
        <v>42</v>
      </c>
      <c r="F298" s="16">
        <v>40149.0</v>
      </c>
      <c r="G298" s="16">
        <v>40682.0</v>
      </c>
      <c r="H298" s="20">
        <f t="shared" si="1"/>
        <v>1.463888889</v>
      </c>
      <c r="I298" s="20" t="s">
        <v>939</v>
      </c>
    </row>
    <row r="299" ht="15.75" customHeight="1">
      <c r="A299" s="14" t="s">
        <v>940</v>
      </c>
      <c r="B299" s="14" t="s">
        <v>61</v>
      </c>
      <c r="C299" s="19" t="s">
        <v>45</v>
      </c>
      <c r="D299" s="20" t="s">
        <v>941</v>
      </c>
      <c r="E299" s="20" t="s">
        <v>529</v>
      </c>
      <c r="F299" s="16">
        <v>40154.0</v>
      </c>
      <c r="G299" s="16">
        <v>42780.0</v>
      </c>
      <c r="H299" s="20">
        <f t="shared" si="1"/>
        <v>7.186111111</v>
      </c>
      <c r="I299" s="20" t="s">
        <v>942</v>
      </c>
    </row>
    <row r="300" ht="15.75" customHeight="1">
      <c r="A300" s="14" t="s">
        <v>943</v>
      </c>
      <c r="B300" s="14" t="s">
        <v>27</v>
      </c>
      <c r="C300" s="19" t="s">
        <v>45</v>
      </c>
      <c r="D300" s="20" t="s">
        <v>944</v>
      </c>
      <c r="E300" s="20" t="s">
        <v>101</v>
      </c>
      <c r="F300" s="16">
        <v>40149.0</v>
      </c>
      <c r="G300" s="16">
        <v>41158.0</v>
      </c>
      <c r="H300" s="20">
        <f t="shared" si="1"/>
        <v>2.761111111</v>
      </c>
      <c r="I300" s="20" t="s">
        <v>945</v>
      </c>
    </row>
    <row r="301" ht="12.75" customHeight="1">
      <c r="A301" s="14" t="s">
        <v>946</v>
      </c>
      <c r="B301" s="14" t="s">
        <v>56</v>
      </c>
      <c r="C301" s="19" t="s">
        <v>45</v>
      </c>
      <c r="D301" s="15" t="s">
        <v>947</v>
      </c>
      <c r="E301" s="15" t="s">
        <v>227</v>
      </c>
      <c r="F301" s="16">
        <v>40156.0</v>
      </c>
      <c r="G301" s="16">
        <v>42417.0</v>
      </c>
      <c r="H301" s="17">
        <f t="shared" si="1"/>
        <v>6.188888889</v>
      </c>
      <c r="I301" s="14" t="s">
        <v>948</v>
      </c>
      <c r="J301" s="18"/>
    </row>
    <row r="302" ht="12.75" customHeight="1">
      <c r="A302" s="14" t="s">
        <v>949</v>
      </c>
      <c r="B302" s="14" t="s">
        <v>61</v>
      </c>
      <c r="C302" s="19" t="s">
        <v>45</v>
      </c>
      <c r="D302" s="15" t="s">
        <v>167</v>
      </c>
      <c r="E302" s="15" t="s">
        <v>140</v>
      </c>
      <c r="F302" s="16">
        <v>40212.0</v>
      </c>
      <c r="G302" s="16">
        <v>41101.0</v>
      </c>
      <c r="H302" s="17">
        <f t="shared" si="1"/>
        <v>2.438888889</v>
      </c>
      <c r="I302" s="14" t="s">
        <v>950</v>
      </c>
      <c r="J302" s="18"/>
    </row>
    <row r="303" ht="15.75" customHeight="1">
      <c r="A303" s="14" t="s">
        <v>951</v>
      </c>
      <c r="B303" s="14" t="s">
        <v>116</v>
      </c>
      <c r="C303" s="19" t="s">
        <v>45</v>
      </c>
      <c r="D303" s="20" t="s">
        <v>373</v>
      </c>
      <c r="E303" s="20" t="s">
        <v>14</v>
      </c>
      <c r="F303" s="16">
        <v>40212.0</v>
      </c>
      <c r="G303" s="16">
        <v>42256.0</v>
      </c>
      <c r="H303" s="20">
        <f t="shared" si="1"/>
        <v>5.6</v>
      </c>
      <c r="I303" s="20" t="s">
        <v>952</v>
      </c>
    </row>
    <row r="304" ht="15.75" customHeight="1">
      <c r="A304" s="14" t="s">
        <v>953</v>
      </c>
      <c r="B304" s="14" t="s">
        <v>11</v>
      </c>
      <c r="C304" s="19" t="s">
        <v>45</v>
      </c>
      <c r="D304" s="20" t="s">
        <v>954</v>
      </c>
      <c r="E304" s="20" t="s">
        <v>42</v>
      </c>
      <c r="F304" s="16">
        <v>40221.0</v>
      </c>
      <c r="G304" s="16">
        <v>40700.0</v>
      </c>
      <c r="H304" s="20">
        <f t="shared" si="1"/>
        <v>1.316666667</v>
      </c>
      <c r="I304" s="20" t="s">
        <v>955</v>
      </c>
    </row>
    <row r="305" ht="15.75" customHeight="1">
      <c r="A305" s="14" t="s">
        <v>956</v>
      </c>
      <c r="B305" s="14" t="s">
        <v>584</v>
      </c>
      <c r="C305" s="19" t="s">
        <v>45</v>
      </c>
      <c r="D305" s="20" t="s">
        <v>957</v>
      </c>
      <c r="E305" s="20" t="s">
        <v>58</v>
      </c>
      <c r="F305" s="16">
        <v>40221.0</v>
      </c>
      <c r="G305" s="16">
        <v>40625.0</v>
      </c>
      <c r="H305" s="20">
        <f t="shared" si="1"/>
        <v>1.113888889</v>
      </c>
      <c r="I305" s="20" t="s">
        <v>958</v>
      </c>
    </row>
    <row r="306" ht="15.75" customHeight="1">
      <c r="A306" s="14" t="s">
        <v>959</v>
      </c>
      <c r="B306" s="14" t="s">
        <v>116</v>
      </c>
      <c r="C306" s="19" t="s">
        <v>45</v>
      </c>
      <c r="D306" s="20" t="s">
        <v>668</v>
      </c>
      <c r="E306" s="20" t="s">
        <v>669</v>
      </c>
      <c r="F306" s="16">
        <v>40212.0</v>
      </c>
      <c r="G306" s="16">
        <v>41019.0</v>
      </c>
      <c r="H306" s="20">
        <f t="shared" si="1"/>
        <v>2.213888889</v>
      </c>
      <c r="I306" s="20" t="s">
        <v>960</v>
      </c>
    </row>
    <row r="307" ht="15.75" customHeight="1">
      <c r="A307" s="14" t="s">
        <v>961</v>
      </c>
      <c r="B307" s="14" t="s">
        <v>111</v>
      </c>
      <c r="C307" s="19" t="s">
        <v>45</v>
      </c>
      <c r="D307" s="20" t="s">
        <v>962</v>
      </c>
      <c r="E307" s="20" t="s">
        <v>164</v>
      </c>
      <c r="F307" s="16">
        <v>40282.0</v>
      </c>
      <c r="G307" s="16">
        <v>41982.0</v>
      </c>
      <c r="H307" s="20">
        <f t="shared" si="1"/>
        <v>4.652777778</v>
      </c>
      <c r="I307" s="20" t="s">
        <v>963</v>
      </c>
    </row>
    <row r="308" ht="15.75" customHeight="1">
      <c r="A308" s="14" t="s">
        <v>964</v>
      </c>
      <c r="B308" s="14" t="s">
        <v>61</v>
      </c>
      <c r="C308" s="19" t="s">
        <v>45</v>
      </c>
      <c r="D308" s="20" t="s">
        <v>317</v>
      </c>
      <c r="E308" s="20" t="s">
        <v>34</v>
      </c>
      <c r="F308" s="16">
        <v>40270.0</v>
      </c>
      <c r="G308" s="16">
        <v>40973.0</v>
      </c>
      <c r="H308" s="20">
        <f t="shared" si="1"/>
        <v>1.925</v>
      </c>
      <c r="I308" s="20" t="s">
        <v>965</v>
      </c>
    </row>
    <row r="309" ht="12.75" customHeight="1">
      <c r="A309" s="14" t="s">
        <v>966</v>
      </c>
      <c r="B309" s="14" t="s">
        <v>56</v>
      </c>
      <c r="C309" s="19" t="s">
        <v>45</v>
      </c>
      <c r="D309" s="15" t="s">
        <v>700</v>
      </c>
      <c r="E309" s="15" t="s">
        <v>14</v>
      </c>
      <c r="F309" s="16">
        <v>40270.0</v>
      </c>
      <c r="G309" s="16">
        <v>43245.0</v>
      </c>
      <c r="H309" s="17">
        <f t="shared" si="1"/>
        <v>8.147222222</v>
      </c>
      <c r="I309" s="14" t="s">
        <v>967</v>
      </c>
      <c r="J309" s="28" t="s">
        <v>968</v>
      </c>
    </row>
    <row r="310" ht="12.75" customHeight="1">
      <c r="A310" s="14" t="s">
        <v>969</v>
      </c>
      <c r="B310" s="14" t="s">
        <v>584</v>
      </c>
      <c r="C310" s="19" t="s">
        <v>45</v>
      </c>
      <c r="D310" s="20" t="s">
        <v>117</v>
      </c>
      <c r="E310" s="20" t="s">
        <v>14</v>
      </c>
      <c r="F310" s="16">
        <v>40282.0</v>
      </c>
      <c r="G310" s="16">
        <v>40820.0</v>
      </c>
      <c r="H310" s="20">
        <f t="shared" si="1"/>
        <v>1.472222222</v>
      </c>
      <c r="I310" s="20" t="s">
        <v>970</v>
      </c>
      <c r="J310" s="18"/>
    </row>
    <row r="311" ht="15.75" customHeight="1">
      <c r="A311" s="14" t="s">
        <v>971</v>
      </c>
      <c r="B311" s="14" t="s">
        <v>22</v>
      </c>
      <c r="C311" s="19" t="s">
        <v>45</v>
      </c>
      <c r="D311" s="20" t="s">
        <v>330</v>
      </c>
      <c r="E311" s="20" t="s">
        <v>58</v>
      </c>
      <c r="F311" s="16">
        <v>40283.0</v>
      </c>
      <c r="G311" s="16">
        <v>42221.0</v>
      </c>
      <c r="H311" s="20">
        <f t="shared" si="1"/>
        <v>5.305555556</v>
      </c>
      <c r="I311" s="20" t="s">
        <v>972</v>
      </c>
    </row>
    <row r="312" ht="15.75" customHeight="1">
      <c r="A312" s="14" t="s">
        <v>973</v>
      </c>
      <c r="B312" s="14" t="s">
        <v>61</v>
      </c>
      <c r="C312" s="19" t="s">
        <v>45</v>
      </c>
      <c r="D312" s="20" t="s">
        <v>974</v>
      </c>
      <c r="E312" s="20" t="s">
        <v>124</v>
      </c>
      <c r="F312" s="16">
        <v>40275.0</v>
      </c>
      <c r="G312" s="16">
        <v>40759.0</v>
      </c>
      <c r="H312" s="20">
        <f t="shared" si="1"/>
        <v>1.325</v>
      </c>
      <c r="I312" s="20" t="s">
        <v>975</v>
      </c>
    </row>
    <row r="313" ht="15.75" customHeight="1">
      <c r="A313" s="14" t="s">
        <v>976</v>
      </c>
      <c r="B313" s="14" t="s">
        <v>22</v>
      </c>
      <c r="C313" s="19" t="s">
        <v>45</v>
      </c>
      <c r="D313" s="20" t="s">
        <v>755</v>
      </c>
      <c r="E313" s="20" t="s">
        <v>38</v>
      </c>
      <c r="F313" s="16">
        <v>40338.0</v>
      </c>
      <c r="G313" s="16">
        <v>42083.0</v>
      </c>
      <c r="H313" s="20">
        <f t="shared" si="1"/>
        <v>4.780555556</v>
      </c>
      <c r="I313" s="20" t="s">
        <v>977</v>
      </c>
    </row>
    <row r="314" ht="15.75" customHeight="1">
      <c r="A314" s="14" t="s">
        <v>978</v>
      </c>
      <c r="B314" s="14" t="s">
        <v>111</v>
      </c>
      <c r="C314" s="19" t="s">
        <v>45</v>
      </c>
      <c r="D314" s="20" t="s">
        <v>117</v>
      </c>
      <c r="E314" s="20" t="s">
        <v>14</v>
      </c>
      <c r="F314" s="16">
        <v>40344.0</v>
      </c>
      <c r="G314" s="16">
        <v>43066.0</v>
      </c>
      <c r="H314" s="20">
        <f t="shared" si="1"/>
        <v>7.45</v>
      </c>
      <c r="I314" s="20" t="s">
        <v>979</v>
      </c>
    </row>
    <row r="315" ht="15.75" customHeight="1">
      <c r="A315" s="14" t="s">
        <v>980</v>
      </c>
      <c r="B315" s="14" t="s">
        <v>439</v>
      </c>
      <c r="C315" s="19" t="s">
        <v>45</v>
      </c>
      <c r="D315" s="20" t="s">
        <v>981</v>
      </c>
      <c r="E315" s="20" t="s">
        <v>124</v>
      </c>
      <c r="F315" s="16">
        <v>40336.0</v>
      </c>
      <c r="G315" s="16">
        <v>41366.0</v>
      </c>
      <c r="H315" s="20">
        <f t="shared" si="1"/>
        <v>2.819444444</v>
      </c>
      <c r="I315" s="20" t="s">
        <v>982</v>
      </c>
    </row>
    <row r="316" ht="15.75" customHeight="1">
      <c r="A316" s="14" t="s">
        <v>983</v>
      </c>
      <c r="B316" s="14" t="s">
        <v>439</v>
      </c>
      <c r="C316" s="19" t="s">
        <v>45</v>
      </c>
      <c r="D316" s="15" t="s">
        <v>323</v>
      </c>
      <c r="E316" s="15" t="s">
        <v>324</v>
      </c>
      <c r="F316" s="16">
        <v>40340.0</v>
      </c>
      <c r="G316" s="16">
        <v>41913.0</v>
      </c>
      <c r="H316" s="17">
        <f t="shared" si="1"/>
        <v>4.305555556</v>
      </c>
      <c r="I316" s="14" t="s">
        <v>984</v>
      </c>
    </row>
    <row r="317" ht="15.75" customHeight="1">
      <c r="A317" s="14" t="s">
        <v>985</v>
      </c>
      <c r="B317" s="14" t="s">
        <v>27</v>
      </c>
      <c r="C317" s="19" t="s">
        <v>244</v>
      </c>
      <c r="D317" s="20" t="s">
        <v>556</v>
      </c>
      <c r="E317" s="20" t="s">
        <v>58</v>
      </c>
      <c r="F317" s="16">
        <v>40407.0</v>
      </c>
      <c r="G317" s="16">
        <v>41492.0</v>
      </c>
      <c r="H317" s="20">
        <f t="shared" si="1"/>
        <v>2.969444444</v>
      </c>
      <c r="I317" s="20" t="s">
        <v>986</v>
      </c>
    </row>
    <row r="318" ht="12.75" customHeight="1">
      <c r="A318" s="14" t="s">
        <v>987</v>
      </c>
      <c r="B318" s="14" t="s">
        <v>56</v>
      </c>
      <c r="C318" s="19" t="s">
        <v>244</v>
      </c>
      <c r="D318" s="15" t="s">
        <v>23</v>
      </c>
      <c r="E318" s="15" t="s">
        <v>24</v>
      </c>
      <c r="F318" s="16">
        <v>40396.0</v>
      </c>
      <c r="G318" s="16">
        <v>41892.0</v>
      </c>
      <c r="H318" s="17">
        <f t="shared" si="1"/>
        <v>4.094444444</v>
      </c>
      <c r="I318" s="14" t="s">
        <v>988</v>
      </c>
      <c r="J318" s="18"/>
    </row>
    <row r="319" ht="15.75" customHeight="1">
      <c r="A319" s="14" t="s">
        <v>989</v>
      </c>
      <c r="B319" s="14" t="s">
        <v>439</v>
      </c>
      <c r="C319" s="19" t="s">
        <v>45</v>
      </c>
      <c r="D319" s="20" t="s">
        <v>847</v>
      </c>
      <c r="E319" s="20" t="s">
        <v>477</v>
      </c>
      <c r="F319" s="16">
        <v>40402.0</v>
      </c>
      <c r="G319" s="16">
        <v>42227.0</v>
      </c>
      <c r="H319" s="20">
        <f t="shared" si="1"/>
        <v>4.997222222</v>
      </c>
      <c r="I319" s="20" t="s">
        <v>990</v>
      </c>
    </row>
    <row r="320" ht="12.75" customHeight="1">
      <c r="A320" s="14" t="s">
        <v>991</v>
      </c>
      <c r="B320" s="14" t="s">
        <v>56</v>
      </c>
      <c r="C320" s="19" t="s">
        <v>45</v>
      </c>
      <c r="D320" s="15" t="s">
        <v>992</v>
      </c>
      <c r="E320" s="15" t="s">
        <v>993</v>
      </c>
      <c r="F320" s="16">
        <v>40464.0</v>
      </c>
      <c r="G320" s="16">
        <v>42723.0</v>
      </c>
      <c r="H320" s="17">
        <f t="shared" si="1"/>
        <v>6.183333333</v>
      </c>
      <c r="I320" s="14" t="s">
        <v>994</v>
      </c>
      <c r="J320" s="18"/>
    </row>
    <row r="321" ht="12.75" customHeight="1">
      <c r="A321" s="14" t="s">
        <v>995</v>
      </c>
      <c r="B321" s="14" t="s">
        <v>27</v>
      </c>
      <c r="C321" s="19" t="s">
        <v>244</v>
      </c>
      <c r="D321" s="15" t="s">
        <v>996</v>
      </c>
      <c r="E321" s="15" t="s">
        <v>14</v>
      </c>
      <c r="F321" s="16">
        <v>40459.0</v>
      </c>
      <c r="G321" s="16">
        <v>41484.0</v>
      </c>
      <c r="H321" s="17">
        <f t="shared" si="1"/>
        <v>2.808333333</v>
      </c>
      <c r="I321" s="14" t="s">
        <v>997</v>
      </c>
      <c r="J321" s="18"/>
    </row>
    <row r="322" ht="15.75" customHeight="1">
      <c r="A322" s="14" t="s">
        <v>998</v>
      </c>
      <c r="B322" s="14" t="s">
        <v>116</v>
      </c>
      <c r="C322" s="19" t="s">
        <v>112</v>
      </c>
      <c r="D322" s="20" t="s">
        <v>143</v>
      </c>
      <c r="E322" s="20" t="s">
        <v>19</v>
      </c>
      <c r="F322" s="16">
        <v>40459.0</v>
      </c>
      <c r="G322" s="16">
        <v>41115.0</v>
      </c>
      <c r="H322" s="20">
        <f t="shared" si="1"/>
        <v>1.797222222</v>
      </c>
      <c r="I322" s="20" t="s">
        <v>999</v>
      </c>
    </row>
    <row r="323" ht="12.75" customHeight="1">
      <c r="A323" s="14" t="s">
        <v>1000</v>
      </c>
      <c r="B323" s="14" t="s">
        <v>439</v>
      </c>
      <c r="C323" s="19" t="s">
        <v>112</v>
      </c>
      <c r="D323" s="15" t="s">
        <v>1001</v>
      </c>
      <c r="E323" s="15" t="s">
        <v>128</v>
      </c>
      <c r="F323" s="16">
        <v>40459.0</v>
      </c>
      <c r="G323" s="16">
        <v>43039.0</v>
      </c>
      <c r="H323" s="17">
        <f t="shared" si="1"/>
        <v>7.063888889</v>
      </c>
      <c r="I323" s="14" t="s">
        <v>1002</v>
      </c>
      <c r="J323" s="18"/>
    </row>
    <row r="324" ht="12.75" customHeight="1">
      <c r="A324" s="14" t="s">
        <v>1003</v>
      </c>
      <c r="B324" s="14" t="s">
        <v>56</v>
      </c>
      <c r="C324" s="19" t="s">
        <v>45</v>
      </c>
      <c r="D324" s="15" t="s">
        <v>1004</v>
      </c>
      <c r="E324" s="15" t="s">
        <v>205</v>
      </c>
      <c r="F324" s="16">
        <v>40513.0</v>
      </c>
      <c r="G324" s="16">
        <v>42681.0</v>
      </c>
      <c r="H324" s="17">
        <f t="shared" si="1"/>
        <v>5.933333333</v>
      </c>
      <c r="I324" s="14" t="s">
        <v>1005</v>
      </c>
      <c r="J324" s="18"/>
    </row>
    <row r="325" ht="12.75" customHeight="1">
      <c r="A325" s="14" t="s">
        <v>1006</v>
      </c>
      <c r="B325" s="14" t="s">
        <v>116</v>
      </c>
      <c r="C325" s="19" t="s">
        <v>45</v>
      </c>
      <c r="D325" s="15" t="s">
        <v>611</v>
      </c>
      <c r="E325" s="15" t="s">
        <v>58</v>
      </c>
      <c r="F325" s="16">
        <v>40512.0</v>
      </c>
      <c r="G325" s="16">
        <v>43488.0</v>
      </c>
      <c r="H325" s="17">
        <f t="shared" si="1"/>
        <v>8.147222222</v>
      </c>
      <c r="I325" s="14" t="s">
        <v>1007</v>
      </c>
      <c r="J325" s="18"/>
    </row>
    <row r="326" ht="12.75" customHeight="1">
      <c r="A326" s="14" t="s">
        <v>1008</v>
      </c>
      <c r="B326" s="14" t="s">
        <v>11</v>
      </c>
      <c r="C326" s="19" t="s">
        <v>45</v>
      </c>
      <c r="D326" s="20" t="s">
        <v>41</v>
      </c>
      <c r="E326" s="15" t="s">
        <v>42</v>
      </c>
      <c r="F326" s="16">
        <v>40520.0</v>
      </c>
      <c r="G326" s="16">
        <v>41689.0</v>
      </c>
      <c r="H326" s="17">
        <f t="shared" si="1"/>
        <v>3.197222222</v>
      </c>
      <c r="I326" s="14" t="s">
        <v>1009</v>
      </c>
      <c r="J326" s="18"/>
    </row>
    <row r="327" ht="15.75" hidden="1" customHeight="1">
      <c r="A327" s="14" t="s">
        <v>1010</v>
      </c>
      <c r="B327" s="14"/>
      <c r="C327" s="12" t="s">
        <v>66</v>
      </c>
      <c r="D327" s="20" t="s">
        <v>445</v>
      </c>
      <c r="E327" s="20" t="s">
        <v>446</v>
      </c>
      <c r="F327" s="16">
        <v>40577.0</v>
      </c>
      <c r="G327" s="16">
        <v>40935.0</v>
      </c>
      <c r="H327" s="20">
        <f t="shared" si="1"/>
        <v>0.9833333333</v>
      </c>
      <c r="I327" s="20" t="s">
        <v>1011</v>
      </c>
    </row>
    <row r="328" ht="12.75" customHeight="1">
      <c r="A328" s="14" t="s">
        <v>1012</v>
      </c>
      <c r="B328" s="14" t="s">
        <v>439</v>
      </c>
      <c r="C328" s="19" t="s">
        <v>244</v>
      </c>
      <c r="D328" s="15" t="s">
        <v>1013</v>
      </c>
      <c r="E328" s="15" t="s">
        <v>128</v>
      </c>
      <c r="F328" s="16">
        <v>40581.0</v>
      </c>
      <c r="G328" s="16">
        <v>42054.0</v>
      </c>
      <c r="H328" s="17">
        <f t="shared" si="1"/>
        <v>4.033333333</v>
      </c>
      <c r="I328" s="14" t="s">
        <v>1014</v>
      </c>
      <c r="J328" s="18"/>
    </row>
    <row r="329" ht="12.75" hidden="1" customHeight="1">
      <c r="A329" s="14" t="s">
        <v>1015</v>
      </c>
      <c r="B329" s="14"/>
      <c r="C329" s="12" t="s">
        <v>66</v>
      </c>
      <c r="D329" s="15" t="s">
        <v>1016</v>
      </c>
      <c r="E329" s="15" t="s">
        <v>477</v>
      </c>
      <c r="F329" s="16">
        <v>40583.0</v>
      </c>
      <c r="G329" s="16">
        <v>40865.0</v>
      </c>
      <c r="H329" s="17">
        <f t="shared" si="1"/>
        <v>0.775</v>
      </c>
      <c r="I329" s="14" t="s">
        <v>1017</v>
      </c>
      <c r="J329" s="18"/>
    </row>
    <row r="330" ht="12.75" customHeight="1">
      <c r="A330" s="14" t="s">
        <v>1018</v>
      </c>
      <c r="B330" s="14" t="s">
        <v>56</v>
      </c>
      <c r="C330" s="29" t="s">
        <v>257</v>
      </c>
      <c r="D330" s="15" t="s">
        <v>1019</v>
      </c>
      <c r="E330" s="15" t="s">
        <v>38</v>
      </c>
      <c r="F330" s="16">
        <v>40582.0</v>
      </c>
      <c r="G330" s="16">
        <v>42082.0</v>
      </c>
      <c r="H330" s="17">
        <f t="shared" si="1"/>
        <v>4.113888889</v>
      </c>
      <c r="I330" s="14" t="s">
        <v>1020</v>
      </c>
      <c r="J330" s="18"/>
    </row>
    <row r="331" ht="12.75" customHeight="1">
      <c r="A331" s="14" t="s">
        <v>1021</v>
      </c>
      <c r="B331" s="14" t="s">
        <v>116</v>
      </c>
      <c r="C331" s="29" t="s">
        <v>257</v>
      </c>
      <c r="D331" s="15" t="s">
        <v>1022</v>
      </c>
      <c r="E331" s="15" t="s">
        <v>101</v>
      </c>
      <c r="F331" s="16">
        <v>40582.0</v>
      </c>
      <c r="G331" s="16">
        <v>42760.0</v>
      </c>
      <c r="H331" s="17">
        <f t="shared" si="1"/>
        <v>5.963888889</v>
      </c>
      <c r="I331" s="14" t="s">
        <v>1023</v>
      </c>
      <c r="J331" s="18"/>
    </row>
    <row r="332" ht="12.75" customHeight="1">
      <c r="A332" s="14" t="s">
        <v>1024</v>
      </c>
      <c r="B332" s="14" t="s">
        <v>116</v>
      </c>
      <c r="C332" s="29" t="s">
        <v>257</v>
      </c>
      <c r="D332" s="20" t="s">
        <v>1025</v>
      </c>
      <c r="E332" s="15" t="s">
        <v>124</v>
      </c>
      <c r="F332" s="16">
        <v>40581.0</v>
      </c>
      <c r="G332" s="16">
        <v>41173.0</v>
      </c>
      <c r="H332" s="17">
        <f t="shared" si="1"/>
        <v>1.622222222</v>
      </c>
      <c r="I332" s="14" t="s">
        <v>1026</v>
      </c>
      <c r="J332" s="18"/>
    </row>
    <row r="333" ht="15.75" customHeight="1">
      <c r="A333" s="14" t="s">
        <v>1027</v>
      </c>
      <c r="B333" s="14" t="s">
        <v>61</v>
      </c>
      <c r="C333" s="29" t="s">
        <v>257</v>
      </c>
      <c r="D333" s="20" t="s">
        <v>323</v>
      </c>
      <c r="E333" s="20" t="s">
        <v>324</v>
      </c>
      <c r="F333" s="16">
        <v>40578.0</v>
      </c>
      <c r="G333" s="16">
        <v>42713.0</v>
      </c>
      <c r="H333" s="20">
        <f t="shared" si="1"/>
        <v>5.847222222</v>
      </c>
      <c r="I333" s="20" t="s">
        <v>1028</v>
      </c>
    </row>
    <row r="334" ht="12.75" customHeight="1">
      <c r="A334" s="14" t="s">
        <v>1029</v>
      </c>
      <c r="B334" s="14" t="s">
        <v>116</v>
      </c>
      <c r="C334" s="29" t="s">
        <v>257</v>
      </c>
      <c r="D334" s="15" t="s">
        <v>1030</v>
      </c>
      <c r="E334" s="15" t="s">
        <v>205</v>
      </c>
      <c r="F334" s="16">
        <v>40581.0</v>
      </c>
      <c r="G334" s="16">
        <v>42156.0</v>
      </c>
      <c r="H334" s="17">
        <f t="shared" si="1"/>
        <v>4.316666667</v>
      </c>
      <c r="I334" s="14" t="s">
        <v>1031</v>
      </c>
      <c r="J334" s="18"/>
    </row>
    <row r="335" ht="12.75" hidden="1" customHeight="1">
      <c r="A335" s="14" t="s">
        <v>1032</v>
      </c>
      <c r="B335" s="14"/>
      <c r="C335" s="12" t="s">
        <v>66</v>
      </c>
      <c r="D335" s="15" t="s">
        <v>1033</v>
      </c>
      <c r="E335" s="15" t="s">
        <v>477</v>
      </c>
      <c r="F335" s="16">
        <v>40583.0</v>
      </c>
      <c r="G335" s="16">
        <v>40861.0</v>
      </c>
      <c r="H335" s="17">
        <f t="shared" si="1"/>
        <v>0.7638888889</v>
      </c>
      <c r="I335" s="14" t="s">
        <v>1034</v>
      </c>
      <c r="J335" s="18"/>
    </row>
    <row r="336" ht="12.75" customHeight="1">
      <c r="A336" s="14" t="s">
        <v>1035</v>
      </c>
      <c r="B336" s="14" t="s">
        <v>27</v>
      </c>
      <c r="C336" s="19" t="s">
        <v>244</v>
      </c>
      <c r="D336" s="27" t="s">
        <v>726</v>
      </c>
      <c r="E336" s="15" t="s">
        <v>124</v>
      </c>
      <c r="F336" s="16">
        <v>40646.0</v>
      </c>
      <c r="G336" s="16">
        <v>41473.0</v>
      </c>
      <c r="H336" s="17">
        <f t="shared" si="1"/>
        <v>2.263888889</v>
      </c>
      <c r="I336" s="14" t="s">
        <v>1036</v>
      </c>
      <c r="J336" s="18"/>
    </row>
    <row r="337" ht="12.75" customHeight="1">
      <c r="A337" s="14" t="s">
        <v>1037</v>
      </c>
      <c r="B337" s="14" t="s">
        <v>27</v>
      </c>
      <c r="C337" s="29" t="s">
        <v>257</v>
      </c>
      <c r="D337" s="15" t="s">
        <v>1038</v>
      </c>
      <c r="E337" s="15" t="s">
        <v>461</v>
      </c>
      <c r="F337" s="16">
        <v>40771.0</v>
      </c>
      <c r="G337" s="16">
        <v>42810.0</v>
      </c>
      <c r="H337" s="17">
        <f t="shared" si="1"/>
        <v>5.583333333</v>
      </c>
      <c r="I337" s="14" t="s">
        <v>1039</v>
      </c>
      <c r="J337" s="18"/>
    </row>
    <row r="338" ht="12.75" customHeight="1">
      <c r="A338" s="14" t="s">
        <v>1040</v>
      </c>
      <c r="B338" s="14" t="s">
        <v>116</v>
      </c>
      <c r="C338" s="19" t="s">
        <v>244</v>
      </c>
      <c r="D338" s="15" t="s">
        <v>568</v>
      </c>
      <c r="E338" s="15" t="s">
        <v>34</v>
      </c>
      <c r="F338" s="16">
        <v>40646.0</v>
      </c>
      <c r="G338" s="16">
        <v>41885.0</v>
      </c>
      <c r="H338" s="17">
        <f t="shared" si="1"/>
        <v>3.388888889</v>
      </c>
      <c r="I338" s="14" t="s">
        <v>1041</v>
      </c>
      <c r="J338" s="18"/>
    </row>
    <row r="339" ht="15.75" hidden="1" customHeight="1">
      <c r="A339" s="14" t="s">
        <v>1042</v>
      </c>
      <c r="B339" s="14"/>
      <c r="C339" s="12" t="s">
        <v>66</v>
      </c>
      <c r="D339" s="20" t="s">
        <v>1013</v>
      </c>
      <c r="E339" s="20" t="s">
        <v>128</v>
      </c>
      <c r="F339" s="16">
        <v>40652.0</v>
      </c>
      <c r="G339" s="16">
        <v>40900.0</v>
      </c>
      <c r="H339" s="20">
        <f t="shared" si="1"/>
        <v>0.6777777778</v>
      </c>
      <c r="I339" s="20" t="s">
        <v>1043</v>
      </c>
    </row>
    <row r="340" ht="12.75" customHeight="1">
      <c r="A340" s="14" t="s">
        <v>1044</v>
      </c>
      <c r="B340" s="14" t="s">
        <v>27</v>
      </c>
      <c r="C340" s="29" t="s">
        <v>257</v>
      </c>
      <c r="D340" s="15" t="s">
        <v>1045</v>
      </c>
      <c r="E340" s="15" t="s">
        <v>381</v>
      </c>
      <c r="F340" s="16">
        <v>40686.0</v>
      </c>
      <c r="G340" s="16">
        <v>41717.0</v>
      </c>
      <c r="H340" s="17">
        <f t="shared" si="1"/>
        <v>2.822222222</v>
      </c>
      <c r="I340" s="14" t="s">
        <v>1046</v>
      </c>
      <c r="J340" s="18"/>
    </row>
    <row r="341" ht="15.75" customHeight="1">
      <c r="A341" s="14" t="s">
        <v>1047</v>
      </c>
      <c r="B341" s="14" t="s">
        <v>61</v>
      </c>
      <c r="C341" s="29" t="s">
        <v>257</v>
      </c>
      <c r="D341" s="20" t="s">
        <v>1048</v>
      </c>
      <c r="E341" s="20" t="s">
        <v>1049</v>
      </c>
      <c r="F341" s="16">
        <v>40683.0</v>
      </c>
      <c r="G341" s="16">
        <v>42541.0</v>
      </c>
      <c r="H341" s="20">
        <f t="shared" si="1"/>
        <v>5.083333333</v>
      </c>
      <c r="I341" s="20" t="s">
        <v>1050</v>
      </c>
    </row>
    <row r="342" ht="15.75" customHeight="1">
      <c r="A342" s="14" t="s">
        <v>1051</v>
      </c>
      <c r="B342" s="14" t="s">
        <v>111</v>
      </c>
      <c r="C342" s="19" t="s">
        <v>244</v>
      </c>
      <c r="D342" s="20" t="s">
        <v>1052</v>
      </c>
      <c r="E342" s="20" t="s">
        <v>19</v>
      </c>
      <c r="F342" s="16">
        <v>40689.0</v>
      </c>
      <c r="G342" s="16">
        <v>42207.0</v>
      </c>
      <c r="H342" s="20">
        <f t="shared" si="1"/>
        <v>4.155555556</v>
      </c>
      <c r="I342" s="20" t="s">
        <v>1053</v>
      </c>
    </row>
    <row r="343" ht="12.75" customHeight="1">
      <c r="A343" s="14" t="s">
        <v>1054</v>
      </c>
      <c r="B343" s="14" t="s">
        <v>116</v>
      </c>
      <c r="C343" s="19" t="s">
        <v>244</v>
      </c>
      <c r="D343" s="20" t="s">
        <v>703</v>
      </c>
      <c r="E343" s="15" t="s">
        <v>227</v>
      </c>
      <c r="F343" s="16">
        <v>40688.0</v>
      </c>
      <c r="G343" s="16">
        <v>41282.0</v>
      </c>
      <c r="H343" s="17">
        <f t="shared" si="1"/>
        <v>1.619444444</v>
      </c>
      <c r="I343" s="14" t="s">
        <v>1055</v>
      </c>
      <c r="J343" s="18"/>
    </row>
    <row r="344" ht="12.75" customHeight="1">
      <c r="A344" s="14" t="s">
        <v>1056</v>
      </c>
      <c r="B344" s="14" t="s">
        <v>11</v>
      </c>
      <c r="C344" s="29" t="s">
        <v>257</v>
      </c>
      <c r="D344" s="20" t="s">
        <v>136</v>
      </c>
      <c r="E344" s="15" t="s">
        <v>38</v>
      </c>
      <c r="F344" s="16">
        <v>40686.0</v>
      </c>
      <c r="G344" s="16">
        <v>41494.0</v>
      </c>
      <c r="H344" s="17">
        <f t="shared" si="1"/>
        <v>2.208333333</v>
      </c>
      <c r="I344" s="14" t="s">
        <v>1057</v>
      </c>
      <c r="J344" s="18"/>
    </row>
    <row r="345" ht="12.75" customHeight="1">
      <c r="A345" s="14" t="s">
        <v>1058</v>
      </c>
      <c r="B345" s="14" t="s">
        <v>56</v>
      </c>
      <c r="C345" s="29" t="s">
        <v>257</v>
      </c>
      <c r="D345" s="30" t="s">
        <v>1001</v>
      </c>
      <c r="E345" s="30" t="s">
        <v>128</v>
      </c>
      <c r="F345" s="16">
        <v>40697.0</v>
      </c>
      <c r="G345" s="16">
        <v>43172.0</v>
      </c>
      <c r="H345" s="17">
        <f t="shared" si="1"/>
        <v>6.777777778</v>
      </c>
      <c r="I345" s="14" t="s">
        <v>1059</v>
      </c>
      <c r="J345" s="18"/>
    </row>
    <row r="346" ht="15.75" customHeight="1">
      <c r="A346" s="14" t="s">
        <v>1060</v>
      </c>
      <c r="B346" s="14" t="s">
        <v>61</v>
      </c>
      <c r="C346" s="19" t="s">
        <v>244</v>
      </c>
      <c r="D346" s="20" t="s">
        <v>327</v>
      </c>
      <c r="E346" s="20" t="s">
        <v>227</v>
      </c>
      <c r="F346" s="16">
        <v>40689.0</v>
      </c>
      <c r="G346" s="16">
        <v>41884.0</v>
      </c>
      <c r="H346" s="20">
        <f t="shared" si="1"/>
        <v>3.266666667</v>
      </c>
      <c r="I346" s="20" t="s">
        <v>1061</v>
      </c>
    </row>
    <row r="347" ht="12.75" customHeight="1">
      <c r="A347" s="14" t="s">
        <v>1062</v>
      </c>
      <c r="B347" s="14" t="s">
        <v>27</v>
      </c>
      <c r="C347" s="29" t="s">
        <v>257</v>
      </c>
      <c r="D347" s="15" t="s">
        <v>641</v>
      </c>
      <c r="E347" s="15" t="s">
        <v>140</v>
      </c>
      <c r="F347" s="16">
        <v>40686.0</v>
      </c>
      <c r="G347" s="16">
        <v>41143.0</v>
      </c>
      <c r="H347" s="17">
        <f t="shared" si="1"/>
        <v>1.247222222</v>
      </c>
      <c r="I347" s="14" t="s">
        <v>1063</v>
      </c>
      <c r="J347" s="22"/>
    </row>
    <row r="348" ht="12.75" customHeight="1">
      <c r="A348" s="14" t="s">
        <v>1064</v>
      </c>
      <c r="B348" s="14" t="s">
        <v>11</v>
      </c>
      <c r="C348" s="29" t="s">
        <v>257</v>
      </c>
      <c r="D348" s="15" t="s">
        <v>139</v>
      </c>
      <c r="E348" s="15" t="s">
        <v>140</v>
      </c>
      <c r="F348" s="16">
        <v>40792.0</v>
      </c>
      <c r="G348" s="16">
        <v>41463.0</v>
      </c>
      <c r="H348" s="17">
        <f t="shared" si="1"/>
        <v>1.838888889</v>
      </c>
      <c r="I348" s="14" t="s">
        <v>1065</v>
      </c>
      <c r="J348" s="22"/>
    </row>
    <row r="349" ht="12.75" customHeight="1">
      <c r="A349" s="14" t="s">
        <v>1066</v>
      </c>
      <c r="B349" s="14" t="s">
        <v>61</v>
      </c>
      <c r="C349" s="19" t="s">
        <v>112</v>
      </c>
      <c r="D349" s="15" t="s">
        <v>1067</v>
      </c>
      <c r="E349" s="15" t="s">
        <v>14</v>
      </c>
      <c r="F349" s="16">
        <v>40763.0</v>
      </c>
      <c r="G349" s="16">
        <v>41610.0</v>
      </c>
      <c r="H349" s="17">
        <f t="shared" si="1"/>
        <v>2.316666667</v>
      </c>
      <c r="I349" s="14" t="s">
        <v>1068</v>
      </c>
      <c r="J349" s="18"/>
    </row>
    <row r="350" ht="15.75" customHeight="1">
      <c r="A350" s="14" t="s">
        <v>1069</v>
      </c>
      <c r="B350" s="14" t="s">
        <v>116</v>
      </c>
      <c r="C350" s="19" t="s">
        <v>112</v>
      </c>
      <c r="D350" s="20" t="s">
        <v>303</v>
      </c>
      <c r="E350" s="20" t="s">
        <v>53</v>
      </c>
      <c r="F350" s="16">
        <v>40777.0</v>
      </c>
      <c r="G350" s="16">
        <v>41478.0</v>
      </c>
      <c r="H350" s="20">
        <f t="shared" si="1"/>
        <v>1.919444444</v>
      </c>
      <c r="I350" s="20" t="s">
        <v>1070</v>
      </c>
    </row>
    <row r="351" ht="12.75" customHeight="1">
      <c r="A351" s="14" t="s">
        <v>1071</v>
      </c>
      <c r="B351" s="14" t="s">
        <v>61</v>
      </c>
      <c r="C351" s="19" t="s">
        <v>112</v>
      </c>
      <c r="D351" s="15" t="s">
        <v>1072</v>
      </c>
      <c r="E351" s="15" t="s">
        <v>227</v>
      </c>
      <c r="F351" s="16">
        <v>40763.0</v>
      </c>
      <c r="G351" s="16">
        <v>42195.0</v>
      </c>
      <c r="H351" s="17">
        <f t="shared" si="1"/>
        <v>3.922222222</v>
      </c>
      <c r="I351" s="14" t="s">
        <v>1073</v>
      </c>
      <c r="J351" s="18"/>
    </row>
    <row r="352" ht="16.5" customHeight="1">
      <c r="A352" s="14" t="s">
        <v>1074</v>
      </c>
      <c r="B352" s="14" t="s">
        <v>61</v>
      </c>
      <c r="C352" s="19" t="s">
        <v>112</v>
      </c>
      <c r="D352" s="20" t="s">
        <v>226</v>
      </c>
      <c r="E352" s="20" t="s">
        <v>227</v>
      </c>
      <c r="F352" s="16">
        <v>40763.0</v>
      </c>
      <c r="G352" s="16">
        <v>41494.0</v>
      </c>
      <c r="H352" s="20">
        <f t="shared" si="1"/>
        <v>2</v>
      </c>
      <c r="I352" s="20" t="s">
        <v>1075</v>
      </c>
    </row>
    <row r="353" ht="12.75" customHeight="1">
      <c r="A353" s="14" t="s">
        <v>1076</v>
      </c>
      <c r="B353" s="14" t="s">
        <v>61</v>
      </c>
      <c r="C353" s="19" t="s">
        <v>244</v>
      </c>
      <c r="D353" s="15" t="s">
        <v>760</v>
      </c>
      <c r="E353" s="15" t="s">
        <v>14</v>
      </c>
      <c r="F353" s="16">
        <v>40763.0</v>
      </c>
      <c r="G353" s="16">
        <v>42048.0</v>
      </c>
      <c r="H353" s="17">
        <f t="shared" si="1"/>
        <v>3.513888889</v>
      </c>
      <c r="I353" s="14" t="s">
        <v>1077</v>
      </c>
      <c r="J353" s="18"/>
    </row>
    <row r="354" ht="12.75" customHeight="1">
      <c r="A354" s="14" t="s">
        <v>1078</v>
      </c>
      <c r="B354" s="14" t="s">
        <v>22</v>
      </c>
      <c r="C354" s="19" t="s">
        <v>112</v>
      </c>
      <c r="D354" s="15" t="s">
        <v>1079</v>
      </c>
      <c r="E354" s="15" t="s">
        <v>58</v>
      </c>
      <c r="F354" s="16">
        <v>40770.0</v>
      </c>
      <c r="G354" s="16">
        <v>42220.0</v>
      </c>
      <c r="H354" s="17">
        <f t="shared" si="1"/>
        <v>3.969444444</v>
      </c>
      <c r="I354" s="14" t="s">
        <v>1080</v>
      </c>
      <c r="J354" s="31"/>
    </row>
    <row r="355" ht="12.75" customHeight="1">
      <c r="A355" s="14" t="s">
        <v>1081</v>
      </c>
      <c r="B355" s="14" t="s">
        <v>111</v>
      </c>
      <c r="C355" s="19" t="s">
        <v>244</v>
      </c>
      <c r="D355" s="15" t="s">
        <v>1082</v>
      </c>
      <c r="E355" s="15" t="s">
        <v>339</v>
      </c>
      <c r="F355" s="16">
        <v>40774.0</v>
      </c>
      <c r="G355" s="16">
        <v>42566.0</v>
      </c>
      <c r="H355" s="17">
        <f t="shared" si="1"/>
        <v>4.905555556</v>
      </c>
      <c r="I355" s="14" t="s">
        <v>1083</v>
      </c>
      <c r="J355" s="18"/>
    </row>
    <row r="356" ht="15.75" customHeight="1">
      <c r="A356" s="14" t="s">
        <v>1084</v>
      </c>
      <c r="B356" s="14" t="s">
        <v>116</v>
      </c>
      <c r="C356" s="19" t="s">
        <v>112</v>
      </c>
      <c r="D356" s="20" t="s">
        <v>1085</v>
      </c>
      <c r="E356" s="20" t="s">
        <v>14</v>
      </c>
      <c r="F356" s="16">
        <v>40771.0</v>
      </c>
      <c r="G356" s="16">
        <v>41291.0</v>
      </c>
      <c r="H356" s="20">
        <f t="shared" si="1"/>
        <v>1.419444444</v>
      </c>
      <c r="I356" s="20" t="s">
        <v>1086</v>
      </c>
    </row>
    <row r="357" ht="15.75" customHeight="1">
      <c r="A357" s="14" t="s">
        <v>1087</v>
      </c>
      <c r="B357" s="14" t="s">
        <v>27</v>
      </c>
      <c r="C357" s="19" t="s">
        <v>112</v>
      </c>
      <c r="D357" s="20" t="s">
        <v>1088</v>
      </c>
      <c r="E357" s="20" t="s">
        <v>19</v>
      </c>
      <c r="F357" s="16">
        <v>40763.0</v>
      </c>
      <c r="G357" s="16">
        <v>41918.0</v>
      </c>
      <c r="H357" s="20">
        <f t="shared" si="1"/>
        <v>3.161111111</v>
      </c>
      <c r="I357" s="20" t="s">
        <v>1089</v>
      </c>
    </row>
    <row r="358" ht="12.75" customHeight="1">
      <c r="A358" s="14" t="s">
        <v>1090</v>
      </c>
      <c r="B358" s="14" t="s">
        <v>439</v>
      </c>
      <c r="C358" s="19" t="s">
        <v>112</v>
      </c>
      <c r="D358" s="15" t="s">
        <v>364</v>
      </c>
      <c r="E358" s="15" t="s">
        <v>58</v>
      </c>
      <c r="F358" s="16">
        <v>40822.0</v>
      </c>
      <c r="G358" s="16">
        <v>43423.0</v>
      </c>
      <c r="H358" s="17">
        <f t="shared" si="1"/>
        <v>7.119444444</v>
      </c>
      <c r="I358" s="14" t="s">
        <v>1091</v>
      </c>
      <c r="J358" s="18"/>
    </row>
    <row r="359" ht="12.75" customHeight="1">
      <c r="A359" s="14" t="s">
        <v>1092</v>
      </c>
      <c r="B359" s="14" t="s">
        <v>22</v>
      </c>
      <c r="C359" s="19" t="s">
        <v>244</v>
      </c>
      <c r="D359" s="15" t="s">
        <v>1093</v>
      </c>
      <c r="E359" s="15" t="s">
        <v>38</v>
      </c>
      <c r="F359" s="16">
        <v>40822.0</v>
      </c>
      <c r="G359" s="16">
        <v>41838.0</v>
      </c>
      <c r="H359" s="17">
        <f t="shared" si="1"/>
        <v>2.783333333</v>
      </c>
      <c r="I359" s="14" t="s">
        <v>1094</v>
      </c>
      <c r="J359" s="22"/>
    </row>
    <row r="360" ht="13.5" customHeight="1">
      <c r="A360" s="14" t="s">
        <v>1095</v>
      </c>
      <c r="B360" s="14" t="s">
        <v>111</v>
      </c>
      <c r="C360" s="19" t="s">
        <v>112</v>
      </c>
      <c r="D360" s="20" t="s">
        <v>248</v>
      </c>
      <c r="E360" s="15" t="s">
        <v>34</v>
      </c>
      <c r="F360" s="16">
        <v>40828.0</v>
      </c>
      <c r="G360" s="16">
        <v>42795.0</v>
      </c>
      <c r="H360" s="17">
        <f t="shared" si="1"/>
        <v>5.386111111</v>
      </c>
      <c r="I360" s="14" t="s">
        <v>1096</v>
      </c>
      <c r="J360" s="18"/>
    </row>
    <row r="361" ht="15.75" customHeight="1">
      <c r="A361" s="14" t="s">
        <v>1097</v>
      </c>
      <c r="B361" s="14" t="s">
        <v>27</v>
      </c>
      <c r="C361" s="19" t="s">
        <v>244</v>
      </c>
      <c r="D361" s="20" t="s">
        <v>1098</v>
      </c>
      <c r="E361" s="20" t="s">
        <v>284</v>
      </c>
      <c r="F361" s="16">
        <v>40827.0</v>
      </c>
      <c r="G361" s="16">
        <v>41825.0</v>
      </c>
      <c r="H361" s="20">
        <f t="shared" si="1"/>
        <v>2.733333333</v>
      </c>
      <c r="I361" s="20" t="s">
        <v>1099</v>
      </c>
    </row>
    <row r="362" ht="12.75" customHeight="1">
      <c r="A362" s="14" t="s">
        <v>1100</v>
      </c>
      <c r="B362" s="14" t="s">
        <v>27</v>
      </c>
      <c r="C362" s="19" t="s">
        <v>244</v>
      </c>
      <c r="D362" s="15" t="s">
        <v>1101</v>
      </c>
      <c r="E362" s="15" t="s">
        <v>19</v>
      </c>
      <c r="F362" s="16">
        <v>40836.0</v>
      </c>
      <c r="G362" s="16">
        <v>43306.0</v>
      </c>
      <c r="H362" s="17">
        <f t="shared" si="1"/>
        <v>6.763888889</v>
      </c>
      <c r="I362" s="14" t="s">
        <v>1102</v>
      </c>
      <c r="J362" s="18"/>
    </row>
    <row r="363" ht="15.75" customHeight="1">
      <c r="A363" s="14" t="s">
        <v>1103</v>
      </c>
      <c r="B363" s="14" t="s">
        <v>439</v>
      </c>
      <c r="C363" s="19" t="s">
        <v>112</v>
      </c>
      <c r="D363" s="20" t="s">
        <v>277</v>
      </c>
      <c r="E363" s="20" t="s">
        <v>128</v>
      </c>
      <c r="F363" s="16">
        <v>40827.0</v>
      </c>
      <c r="G363" s="16">
        <v>41935.0</v>
      </c>
      <c r="H363" s="20">
        <f t="shared" si="1"/>
        <v>3.033333333</v>
      </c>
      <c r="I363" s="20" t="s">
        <v>1104</v>
      </c>
    </row>
    <row r="364" ht="12.75" customHeight="1">
      <c r="A364" s="14" t="s">
        <v>1105</v>
      </c>
      <c r="B364" s="14" t="s">
        <v>56</v>
      </c>
      <c r="C364" s="19" t="s">
        <v>244</v>
      </c>
      <c r="D364" s="15" t="s">
        <v>1106</v>
      </c>
      <c r="E364" s="15" t="s">
        <v>38</v>
      </c>
      <c r="F364" s="16">
        <v>40886.0</v>
      </c>
      <c r="G364" s="16">
        <v>42718.0</v>
      </c>
      <c r="H364" s="17">
        <f t="shared" si="1"/>
        <v>5.013888889</v>
      </c>
      <c r="I364" s="14" t="s">
        <v>1107</v>
      </c>
      <c r="J364" s="18"/>
    </row>
    <row r="365" ht="12.75" customHeight="1">
      <c r="A365" s="14" t="s">
        <v>1108</v>
      </c>
      <c r="B365" s="14" t="s">
        <v>11</v>
      </c>
      <c r="C365" s="19" t="s">
        <v>112</v>
      </c>
      <c r="D365" s="15" t="s">
        <v>1109</v>
      </c>
      <c r="E365" s="15" t="s">
        <v>533</v>
      </c>
      <c r="F365" s="16">
        <v>40892.0</v>
      </c>
      <c r="G365" s="16">
        <v>42566.0</v>
      </c>
      <c r="H365" s="17">
        <f t="shared" si="1"/>
        <v>4.583333333</v>
      </c>
      <c r="I365" s="14" t="s">
        <v>1110</v>
      </c>
      <c r="J365" s="18"/>
    </row>
    <row r="366" ht="12.75" customHeight="1">
      <c r="A366" s="14" t="s">
        <v>1111</v>
      </c>
      <c r="B366" s="14" t="s">
        <v>27</v>
      </c>
      <c r="C366" s="19" t="s">
        <v>112</v>
      </c>
      <c r="D366" s="15" t="s">
        <v>1112</v>
      </c>
      <c r="E366" s="15" t="s">
        <v>1113</v>
      </c>
      <c r="F366" s="16">
        <v>40906.0</v>
      </c>
      <c r="G366" s="16">
        <v>43215.0</v>
      </c>
      <c r="H366" s="17">
        <f t="shared" si="1"/>
        <v>6.322222222</v>
      </c>
      <c r="I366" s="14" t="s">
        <v>1114</v>
      </c>
      <c r="J366" s="18"/>
    </row>
    <row r="367" ht="15.75" customHeight="1">
      <c r="A367" s="14" t="s">
        <v>1115</v>
      </c>
      <c r="B367" s="14" t="s">
        <v>22</v>
      </c>
      <c r="C367" s="19" t="s">
        <v>244</v>
      </c>
      <c r="D367" s="20" t="s">
        <v>749</v>
      </c>
      <c r="E367" s="20" t="s">
        <v>58</v>
      </c>
      <c r="F367" s="16">
        <v>40892.0</v>
      </c>
      <c r="G367" s="16">
        <v>41759.0</v>
      </c>
      <c r="H367" s="20">
        <f t="shared" si="1"/>
        <v>2.375</v>
      </c>
      <c r="I367" s="20" t="s">
        <v>1116</v>
      </c>
    </row>
    <row r="368" ht="12.75" customHeight="1">
      <c r="A368" s="14" t="s">
        <v>1117</v>
      </c>
      <c r="B368" s="14" t="s">
        <v>11</v>
      </c>
      <c r="C368" s="19" t="s">
        <v>244</v>
      </c>
      <c r="D368" s="15" t="s">
        <v>1118</v>
      </c>
      <c r="E368" s="15" t="s">
        <v>124</v>
      </c>
      <c r="F368" s="16">
        <v>40905.0</v>
      </c>
      <c r="G368" s="16">
        <v>43174.0</v>
      </c>
      <c r="H368" s="17">
        <f t="shared" si="1"/>
        <v>6.213888889</v>
      </c>
      <c r="I368" s="14" t="s">
        <v>1119</v>
      </c>
      <c r="J368" s="18"/>
    </row>
    <row r="369" ht="12.75" customHeight="1">
      <c r="A369" s="14" t="s">
        <v>1120</v>
      </c>
      <c r="B369" s="14" t="s">
        <v>27</v>
      </c>
      <c r="C369" s="19" t="s">
        <v>112</v>
      </c>
      <c r="D369" s="15" t="s">
        <v>729</v>
      </c>
      <c r="E369" s="15" t="s">
        <v>669</v>
      </c>
      <c r="F369" s="16">
        <v>40896.0</v>
      </c>
      <c r="G369" s="16">
        <v>43377.0</v>
      </c>
      <c r="H369" s="17">
        <f t="shared" si="1"/>
        <v>6.791666667</v>
      </c>
      <c r="I369" s="14" t="s">
        <v>1121</v>
      </c>
      <c r="J369" s="18"/>
    </row>
    <row r="370" ht="12.75" customHeight="1">
      <c r="A370" s="14" t="s">
        <v>1122</v>
      </c>
      <c r="B370" s="14" t="s">
        <v>11</v>
      </c>
      <c r="C370" s="19" t="s">
        <v>112</v>
      </c>
      <c r="D370" s="15" t="s">
        <v>821</v>
      </c>
      <c r="E370" s="15" t="s">
        <v>822</v>
      </c>
      <c r="F370" s="16">
        <v>40890.0</v>
      </c>
      <c r="G370" s="16">
        <v>42613.0</v>
      </c>
      <c r="H370" s="17">
        <f t="shared" si="1"/>
        <v>4.716666667</v>
      </c>
      <c r="I370" s="14" t="s">
        <v>1123</v>
      </c>
      <c r="J370" s="18"/>
    </row>
    <row r="371" ht="15.75" customHeight="1">
      <c r="A371" s="14" t="s">
        <v>1124</v>
      </c>
      <c r="B371" s="14" t="s">
        <v>61</v>
      </c>
      <c r="C371" s="19" t="s">
        <v>112</v>
      </c>
      <c r="D371" s="20" t="s">
        <v>1125</v>
      </c>
      <c r="E371" s="20" t="s">
        <v>14</v>
      </c>
      <c r="F371" s="16">
        <v>40947.0</v>
      </c>
      <c r="G371" s="16">
        <v>43060.0</v>
      </c>
      <c r="H371" s="20">
        <f t="shared" si="1"/>
        <v>5.786111111</v>
      </c>
      <c r="I371" s="20" t="s">
        <v>1126</v>
      </c>
    </row>
    <row r="372" ht="15.75" customHeight="1">
      <c r="A372" s="14" t="s">
        <v>1127</v>
      </c>
      <c r="B372" s="14" t="s">
        <v>27</v>
      </c>
      <c r="C372" s="19" t="s">
        <v>112</v>
      </c>
      <c r="D372" s="20" t="s">
        <v>1128</v>
      </c>
      <c r="E372" s="20" t="s">
        <v>205</v>
      </c>
      <c r="F372" s="16">
        <v>40947.0</v>
      </c>
      <c r="G372" s="16">
        <v>42405.0</v>
      </c>
      <c r="H372" s="20">
        <f t="shared" si="1"/>
        <v>3.991666667</v>
      </c>
      <c r="I372" s="20" t="s">
        <v>1129</v>
      </c>
    </row>
    <row r="373" ht="12.75" customHeight="1">
      <c r="A373" s="14" t="s">
        <v>1130</v>
      </c>
      <c r="B373" s="14" t="s">
        <v>116</v>
      </c>
      <c r="C373" s="19" t="s">
        <v>112</v>
      </c>
      <c r="D373" s="20" t="s">
        <v>57</v>
      </c>
      <c r="E373" s="15" t="s">
        <v>58</v>
      </c>
      <c r="F373" s="16">
        <v>40942.0</v>
      </c>
      <c r="G373" s="16">
        <v>42207.0</v>
      </c>
      <c r="H373" s="17">
        <f t="shared" si="1"/>
        <v>3.469444444</v>
      </c>
      <c r="I373" s="14" t="s">
        <v>1131</v>
      </c>
      <c r="J373" s="18"/>
    </row>
    <row r="374" ht="12.75" customHeight="1">
      <c r="A374" s="14" t="s">
        <v>1132</v>
      </c>
      <c r="B374" s="14" t="s">
        <v>116</v>
      </c>
      <c r="C374" s="19" t="s">
        <v>112</v>
      </c>
      <c r="D374" s="15" t="s">
        <v>1133</v>
      </c>
      <c r="E374" s="15" t="s">
        <v>1134</v>
      </c>
      <c r="F374" s="16">
        <v>40975.0</v>
      </c>
      <c r="G374" s="16">
        <v>42405.0</v>
      </c>
      <c r="H374" s="17">
        <f t="shared" si="1"/>
        <v>3.911111111</v>
      </c>
      <c r="I374" s="14" t="s">
        <v>1135</v>
      </c>
      <c r="J374" s="18"/>
    </row>
    <row r="375" ht="12.75" customHeight="1">
      <c r="A375" s="14" t="s">
        <v>1136</v>
      </c>
      <c r="B375" s="14" t="s">
        <v>116</v>
      </c>
      <c r="C375" s="19" t="s">
        <v>112</v>
      </c>
      <c r="D375" s="15" t="s">
        <v>1137</v>
      </c>
      <c r="E375" s="15" t="s">
        <v>477</v>
      </c>
      <c r="F375" s="16">
        <v>40948.0</v>
      </c>
      <c r="G375" s="16">
        <v>42422.0</v>
      </c>
      <c r="H375" s="17">
        <f t="shared" si="1"/>
        <v>4.036111111</v>
      </c>
      <c r="I375" s="14" t="s">
        <v>1138</v>
      </c>
      <c r="J375" s="18"/>
    </row>
    <row r="376" ht="12.75" customHeight="1">
      <c r="A376" s="14" t="s">
        <v>1139</v>
      </c>
      <c r="B376" s="14" t="s">
        <v>56</v>
      </c>
      <c r="C376" s="19" t="s">
        <v>112</v>
      </c>
      <c r="D376" s="15" t="s">
        <v>1140</v>
      </c>
      <c r="E376" s="15" t="s">
        <v>30</v>
      </c>
      <c r="F376" s="16">
        <v>41016.0</v>
      </c>
      <c r="G376" s="16">
        <v>42621.0</v>
      </c>
      <c r="H376" s="17">
        <f t="shared" si="1"/>
        <v>4.391666667</v>
      </c>
      <c r="I376" s="14" t="s">
        <v>1141</v>
      </c>
      <c r="J376" s="18"/>
    </row>
    <row r="377" ht="12.75" customHeight="1">
      <c r="A377" s="14" t="s">
        <v>1142</v>
      </c>
      <c r="B377" s="14" t="s">
        <v>61</v>
      </c>
      <c r="C377" s="19" t="s">
        <v>112</v>
      </c>
      <c r="D377" s="15" t="s">
        <v>261</v>
      </c>
      <c r="E377" s="15" t="s">
        <v>14</v>
      </c>
      <c r="F377" s="16">
        <v>41015.0</v>
      </c>
      <c r="G377" s="16">
        <v>42620.0</v>
      </c>
      <c r="H377" s="17">
        <f t="shared" si="1"/>
        <v>4.391666667</v>
      </c>
      <c r="I377" s="14" t="s">
        <v>1143</v>
      </c>
      <c r="J377" s="18"/>
    </row>
    <row r="378" ht="12.75" customHeight="1">
      <c r="A378" s="14" t="s">
        <v>1144</v>
      </c>
      <c r="B378" s="14" t="s">
        <v>27</v>
      </c>
      <c r="C378" s="19" t="s">
        <v>112</v>
      </c>
      <c r="D378" s="14" t="s">
        <v>283</v>
      </c>
      <c r="E378" s="15" t="s">
        <v>284</v>
      </c>
      <c r="F378" s="16">
        <v>41022.0</v>
      </c>
      <c r="G378" s="16">
        <v>42220.0</v>
      </c>
      <c r="H378" s="17">
        <f t="shared" si="1"/>
        <v>3.280555556</v>
      </c>
      <c r="I378" s="14" t="s">
        <v>1145</v>
      </c>
      <c r="J378" s="18"/>
    </row>
    <row r="379" ht="15.75" customHeight="1">
      <c r="A379" s="14" t="s">
        <v>1146</v>
      </c>
      <c r="B379" s="14" t="s">
        <v>61</v>
      </c>
      <c r="C379" s="19" t="s">
        <v>112</v>
      </c>
      <c r="D379" s="20" t="s">
        <v>932</v>
      </c>
      <c r="E379" s="20" t="s">
        <v>124</v>
      </c>
      <c r="F379" s="16">
        <v>41015.0</v>
      </c>
      <c r="G379" s="16">
        <v>42558.0</v>
      </c>
      <c r="H379" s="20">
        <f t="shared" si="1"/>
        <v>4.225</v>
      </c>
      <c r="I379" s="20" t="s">
        <v>1147</v>
      </c>
    </row>
    <row r="380" ht="15.75" customHeight="1">
      <c r="A380" s="14" t="s">
        <v>1148</v>
      </c>
      <c r="B380" s="14" t="s">
        <v>439</v>
      </c>
      <c r="C380" s="5" t="s">
        <v>244</v>
      </c>
      <c r="D380" s="20" t="s">
        <v>768</v>
      </c>
      <c r="E380" s="20" t="s">
        <v>38</v>
      </c>
      <c r="F380" s="16">
        <v>41015.0</v>
      </c>
      <c r="G380" s="16">
        <v>42354.0</v>
      </c>
      <c r="H380" s="20">
        <f t="shared" si="1"/>
        <v>3.666666667</v>
      </c>
      <c r="I380" s="20" t="s">
        <v>1149</v>
      </c>
      <c r="J380" s="19" t="s">
        <v>1150</v>
      </c>
    </row>
    <row r="381" ht="15.75" hidden="1" customHeight="1">
      <c r="A381" s="14" t="s">
        <v>1151</v>
      </c>
      <c r="B381" s="14"/>
      <c r="C381" s="12" t="s">
        <v>66</v>
      </c>
      <c r="D381" s="20" t="s">
        <v>1152</v>
      </c>
      <c r="E381" s="20" t="s">
        <v>19</v>
      </c>
      <c r="F381" s="16">
        <v>41015.0</v>
      </c>
      <c r="G381" s="16">
        <v>41277.0</v>
      </c>
      <c r="H381" s="20">
        <f t="shared" si="1"/>
        <v>0.7138888889</v>
      </c>
      <c r="I381" s="20" t="s">
        <v>1153</v>
      </c>
    </row>
    <row r="382" ht="12.75" customHeight="1">
      <c r="A382" s="14" t="s">
        <v>1154</v>
      </c>
      <c r="B382" s="14" t="s">
        <v>27</v>
      </c>
      <c r="C382" s="19" t="s">
        <v>112</v>
      </c>
      <c r="D382" s="15" t="s">
        <v>1155</v>
      </c>
      <c r="E382" s="15" t="s">
        <v>19</v>
      </c>
      <c r="F382" s="16">
        <v>41016.0</v>
      </c>
      <c r="G382" s="16">
        <v>43125.0</v>
      </c>
      <c r="H382" s="17">
        <f t="shared" si="1"/>
        <v>5.772222222</v>
      </c>
      <c r="I382" s="14" t="s">
        <v>1156</v>
      </c>
      <c r="J382" s="18"/>
    </row>
    <row r="383" ht="12.75" customHeight="1">
      <c r="A383" s="14" t="s">
        <v>1157</v>
      </c>
      <c r="B383" s="14" t="s">
        <v>56</v>
      </c>
      <c r="C383" s="19" t="s">
        <v>112</v>
      </c>
      <c r="D383" s="15" t="s">
        <v>1158</v>
      </c>
      <c r="E383" s="15" t="s">
        <v>508</v>
      </c>
      <c r="F383" s="16">
        <v>41016.0</v>
      </c>
      <c r="G383" s="16">
        <v>42950.0</v>
      </c>
      <c r="H383" s="17">
        <f t="shared" si="1"/>
        <v>5.294444444</v>
      </c>
      <c r="I383" s="14" t="s">
        <v>1159</v>
      </c>
      <c r="J383" s="18"/>
    </row>
    <row r="384" ht="12.75" customHeight="1">
      <c r="A384" s="14" t="s">
        <v>1160</v>
      </c>
      <c r="B384" s="14" t="s">
        <v>11</v>
      </c>
      <c r="C384" s="19" t="s">
        <v>112</v>
      </c>
      <c r="D384" s="20" t="s">
        <v>41</v>
      </c>
      <c r="E384" s="15" t="s">
        <v>42</v>
      </c>
      <c r="F384" s="16">
        <v>41031.0</v>
      </c>
      <c r="G384" s="16">
        <v>42930.0</v>
      </c>
      <c r="H384" s="17">
        <f t="shared" si="1"/>
        <v>5.2</v>
      </c>
      <c r="I384" s="14" t="s">
        <v>1161</v>
      </c>
      <c r="J384" s="22"/>
    </row>
    <row r="385" ht="15.75" customHeight="1">
      <c r="A385" s="14" t="s">
        <v>1162</v>
      </c>
      <c r="B385" s="14" t="s">
        <v>61</v>
      </c>
      <c r="C385" s="19" t="s">
        <v>112</v>
      </c>
      <c r="D385" s="20" t="s">
        <v>655</v>
      </c>
      <c r="E385" s="20" t="s">
        <v>38</v>
      </c>
      <c r="F385" s="16">
        <v>41071.0</v>
      </c>
      <c r="G385" s="16">
        <v>42263.0</v>
      </c>
      <c r="H385" s="20">
        <f t="shared" si="1"/>
        <v>3.263888889</v>
      </c>
      <c r="I385" s="20" t="s">
        <v>1163</v>
      </c>
    </row>
    <row r="386" ht="12.75" customHeight="1">
      <c r="A386" s="14" t="s">
        <v>1164</v>
      </c>
      <c r="B386" s="14" t="s">
        <v>11</v>
      </c>
      <c r="C386" s="19" t="s">
        <v>112</v>
      </c>
      <c r="D386" s="15" t="s">
        <v>844</v>
      </c>
      <c r="E386" s="15" t="s">
        <v>71</v>
      </c>
      <c r="F386" s="16">
        <v>41068.0</v>
      </c>
      <c r="G386" s="16">
        <v>42577.0</v>
      </c>
      <c r="H386" s="17">
        <f t="shared" si="1"/>
        <v>4.133333333</v>
      </c>
      <c r="I386" s="14" t="s">
        <v>1165</v>
      </c>
      <c r="J386" s="18"/>
    </row>
    <row r="387" ht="15.75" customHeight="1">
      <c r="A387" s="14" t="s">
        <v>1166</v>
      </c>
      <c r="B387" s="14" t="s">
        <v>11</v>
      </c>
      <c r="C387" s="19" t="s">
        <v>112</v>
      </c>
      <c r="D387" s="20" t="s">
        <v>1167</v>
      </c>
      <c r="E387" s="20" t="s">
        <v>1168</v>
      </c>
      <c r="F387" s="16">
        <v>41072.0</v>
      </c>
      <c r="G387" s="16">
        <v>42611.0</v>
      </c>
      <c r="H387" s="20">
        <f t="shared" si="1"/>
        <v>4.213888889</v>
      </c>
      <c r="I387" s="20" t="s">
        <v>1169</v>
      </c>
    </row>
    <row r="388" ht="15.75" customHeight="1">
      <c r="A388" s="14" t="s">
        <v>1170</v>
      </c>
      <c r="B388" s="14" t="s">
        <v>61</v>
      </c>
      <c r="C388" s="19" t="s">
        <v>45</v>
      </c>
      <c r="D388" s="20" t="s">
        <v>464</v>
      </c>
      <c r="E388" s="20" t="s">
        <v>188</v>
      </c>
      <c r="F388" s="16">
        <v>41073.0</v>
      </c>
      <c r="G388" s="16">
        <v>43991.0</v>
      </c>
      <c r="H388" s="20">
        <f t="shared" si="1"/>
        <v>7.988888889</v>
      </c>
      <c r="I388" s="20" t="s">
        <v>1171</v>
      </c>
    </row>
    <row r="389" ht="12.75" customHeight="1">
      <c r="A389" s="14" t="s">
        <v>1172</v>
      </c>
      <c r="B389" s="14" t="s">
        <v>61</v>
      </c>
      <c r="C389" s="19" t="s">
        <v>45</v>
      </c>
      <c r="D389" s="15" t="s">
        <v>877</v>
      </c>
      <c r="E389" s="15" t="s">
        <v>42</v>
      </c>
      <c r="F389" s="16">
        <v>41072.0</v>
      </c>
      <c r="G389" s="16">
        <v>41739.0</v>
      </c>
      <c r="H389" s="17">
        <f t="shared" si="1"/>
        <v>1.827777778</v>
      </c>
      <c r="I389" s="14" t="s">
        <v>1173</v>
      </c>
      <c r="J389" s="18"/>
    </row>
    <row r="390" ht="15.75" customHeight="1">
      <c r="A390" s="14" t="s">
        <v>1174</v>
      </c>
      <c r="B390" s="14" t="s">
        <v>27</v>
      </c>
      <c r="C390" s="19" t="s">
        <v>45</v>
      </c>
      <c r="D390" s="20" t="s">
        <v>1175</v>
      </c>
      <c r="E390" s="20" t="s">
        <v>140</v>
      </c>
      <c r="F390" s="16">
        <v>41071.0</v>
      </c>
      <c r="G390" s="16">
        <v>43292.0</v>
      </c>
      <c r="H390" s="20">
        <f t="shared" si="1"/>
        <v>6.083333333</v>
      </c>
      <c r="I390" s="20" t="s">
        <v>1176</v>
      </c>
    </row>
    <row r="391" ht="12.75" customHeight="1">
      <c r="A391" s="14" t="s">
        <v>1177</v>
      </c>
      <c r="B391" s="14" t="s">
        <v>116</v>
      </c>
      <c r="C391" s="19" t="s">
        <v>45</v>
      </c>
      <c r="D391" s="15" t="s">
        <v>1178</v>
      </c>
      <c r="E391" s="15" t="s">
        <v>288</v>
      </c>
      <c r="F391" s="16">
        <v>41071.0</v>
      </c>
      <c r="G391" s="16">
        <v>43222.0</v>
      </c>
      <c r="H391" s="17">
        <f t="shared" si="1"/>
        <v>5.891666667</v>
      </c>
      <c r="I391" s="14" t="s">
        <v>1179</v>
      </c>
      <c r="J391" s="18"/>
    </row>
    <row r="392" ht="15.75" customHeight="1">
      <c r="A392" s="14" t="s">
        <v>1180</v>
      </c>
      <c r="B392" s="14" t="s">
        <v>11</v>
      </c>
      <c r="C392" s="19" t="s">
        <v>45</v>
      </c>
      <c r="D392" s="20" t="s">
        <v>1118</v>
      </c>
      <c r="E392" s="20" t="s">
        <v>124</v>
      </c>
      <c r="F392" s="16">
        <v>41072.0</v>
      </c>
      <c r="G392" s="16">
        <v>41689.0</v>
      </c>
      <c r="H392" s="20">
        <f t="shared" si="1"/>
        <v>1.686111111</v>
      </c>
      <c r="I392" s="20" t="s">
        <v>1181</v>
      </c>
    </row>
    <row r="393" ht="12.75" customHeight="1">
      <c r="A393" s="14" t="s">
        <v>1182</v>
      </c>
      <c r="B393" s="14" t="s">
        <v>11</v>
      </c>
      <c r="C393" s="19" t="s">
        <v>45</v>
      </c>
      <c r="D393" s="15" t="s">
        <v>1183</v>
      </c>
      <c r="E393" s="15" t="s">
        <v>124</v>
      </c>
      <c r="F393" s="16">
        <v>41124.0</v>
      </c>
      <c r="G393" s="16">
        <v>41807.0</v>
      </c>
      <c r="H393" s="17">
        <f t="shared" si="1"/>
        <v>1.872222222</v>
      </c>
      <c r="I393" s="14" t="s">
        <v>1184</v>
      </c>
      <c r="J393" s="18"/>
    </row>
    <row r="394" ht="12.75" customHeight="1">
      <c r="A394" s="14" t="s">
        <v>1185</v>
      </c>
      <c r="B394" s="14" t="s">
        <v>27</v>
      </c>
      <c r="C394" s="19" t="s">
        <v>45</v>
      </c>
      <c r="D394" s="27" t="s">
        <v>726</v>
      </c>
      <c r="E394" s="15" t="s">
        <v>124</v>
      </c>
      <c r="F394" s="16">
        <v>41128.0</v>
      </c>
      <c r="G394" s="16">
        <v>41866.0</v>
      </c>
      <c r="H394" s="17">
        <f t="shared" si="1"/>
        <v>2.022222222</v>
      </c>
      <c r="I394" s="14" t="s">
        <v>1186</v>
      </c>
      <c r="J394" s="18"/>
    </row>
    <row r="395" ht="15.75" customHeight="1">
      <c r="A395" s="14" t="s">
        <v>1187</v>
      </c>
      <c r="B395" s="14" t="s">
        <v>61</v>
      </c>
      <c r="C395" s="19" t="s">
        <v>45</v>
      </c>
      <c r="D395" s="20" t="s">
        <v>932</v>
      </c>
      <c r="E395" s="20" t="s">
        <v>124</v>
      </c>
      <c r="F395" s="16">
        <v>41015.0</v>
      </c>
      <c r="G395" s="16">
        <v>41851.0</v>
      </c>
      <c r="H395" s="20">
        <f t="shared" si="1"/>
        <v>2.291666667</v>
      </c>
      <c r="I395" s="20" t="s">
        <v>1188</v>
      </c>
    </row>
    <row r="396" ht="15.75" customHeight="1">
      <c r="A396" s="14" t="s">
        <v>1189</v>
      </c>
      <c r="B396" s="14" t="s">
        <v>11</v>
      </c>
      <c r="C396" s="19" t="s">
        <v>45</v>
      </c>
      <c r="D396" s="20" t="s">
        <v>1190</v>
      </c>
      <c r="E396" s="20" t="s">
        <v>128</v>
      </c>
      <c r="F396" s="16">
        <v>41127.0</v>
      </c>
      <c r="G396" s="16">
        <v>42585.0</v>
      </c>
      <c r="H396" s="20">
        <f t="shared" si="1"/>
        <v>3.991666667</v>
      </c>
      <c r="I396" s="20" t="s">
        <v>1191</v>
      </c>
    </row>
    <row r="397" ht="15.75" hidden="1" customHeight="1">
      <c r="A397" s="14" t="s">
        <v>1192</v>
      </c>
      <c r="B397" s="14"/>
      <c r="C397" s="12" t="s">
        <v>66</v>
      </c>
      <c r="D397" s="20" t="s">
        <v>105</v>
      </c>
      <c r="E397" s="20" t="s">
        <v>38</v>
      </c>
      <c r="F397" s="16">
        <v>41144.0</v>
      </c>
      <c r="G397" s="16">
        <v>41501.0</v>
      </c>
      <c r="H397" s="20">
        <f t="shared" si="1"/>
        <v>0.9777777778</v>
      </c>
      <c r="I397" s="20" t="s">
        <v>1193</v>
      </c>
    </row>
    <row r="398" ht="12.75" customHeight="1">
      <c r="A398" s="14" t="s">
        <v>1194</v>
      </c>
      <c r="B398" s="14" t="s">
        <v>116</v>
      </c>
      <c r="C398" s="19" t="s">
        <v>244</v>
      </c>
      <c r="D398" s="15" t="s">
        <v>1195</v>
      </c>
      <c r="E398" s="15" t="s">
        <v>581</v>
      </c>
      <c r="F398" s="16">
        <v>41136.0</v>
      </c>
      <c r="G398" s="16">
        <v>42775.0</v>
      </c>
      <c r="H398" s="17">
        <f t="shared" si="1"/>
        <v>4.483333333</v>
      </c>
      <c r="I398" s="14" t="s">
        <v>1196</v>
      </c>
      <c r="J398" s="18"/>
    </row>
    <row r="399" ht="12.75" customHeight="1">
      <c r="A399" s="14" t="s">
        <v>1197</v>
      </c>
      <c r="B399" s="14" t="s">
        <v>22</v>
      </c>
      <c r="C399" s="19" t="s">
        <v>45</v>
      </c>
      <c r="D399" s="20" t="s">
        <v>571</v>
      </c>
      <c r="E399" s="15" t="s">
        <v>572</v>
      </c>
      <c r="F399" s="16">
        <v>41134.0</v>
      </c>
      <c r="G399" s="16">
        <v>42419.0</v>
      </c>
      <c r="H399" s="17">
        <f t="shared" si="1"/>
        <v>3.516666667</v>
      </c>
      <c r="I399" s="14" t="s">
        <v>1198</v>
      </c>
      <c r="J399" s="22"/>
    </row>
    <row r="400" ht="12.75" customHeight="1">
      <c r="A400" s="14" t="s">
        <v>1199</v>
      </c>
      <c r="B400" s="14" t="s">
        <v>27</v>
      </c>
      <c r="C400" s="19" t="s">
        <v>45</v>
      </c>
      <c r="D400" s="15" t="s">
        <v>914</v>
      </c>
      <c r="E400" s="15" t="s">
        <v>218</v>
      </c>
      <c r="F400" s="16">
        <v>41129.0</v>
      </c>
      <c r="G400" s="16">
        <v>43087.0</v>
      </c>
      <c r="H400" s="17">
        <f t="shared" si="1"/>
        <v>5.361111111</v>
      </c>
      <c r="I400" s="14" t="s">
        <v>1200</v>
      </c>
      <c r="J400" s="22"/>
    </row>
    <row r="401" ht="12.75" customHeight="1">
      <c r="A401" s="14" t="s">
        <v>1201</v>
      </c>
      <c r="B401" s="14" t="s">
        <v>22</v>
      </c>
      <c r="C401" s="19" t="s">
        <v>45</v>
      </c>
      <c r="D401" s="20" t="s">
        <v>105</v>
      </c>
      <c r="E401" s="15" t="s">
        <v>38</v>
      </c>
      <c r="F401" s="16">
        <v>41186.0</v>
      </c>
      <c r="G401" s="16">
        <v>43558.0</v>
      </c>
      <c r="H401" s="17">
        <f t="shared" si="1"/>
        <v>6.497222222</v>
      </c>
      <c r="I401" s="14" t="s">
        <v>1202</v>
      </c>
      <c r="J401" s="18"/>
    </row>
    <row r="402" ht="15.75" customHeight="1">
      <c r="A402" s="14" t="s">
        <v>1203</v>
      </c>
      <c r="B402" s="14" t="s">
        <v>584</v>
      </c>
      <c r="C402" s="19" t="s">
        <v>45</v>
      </c>
      <c r="D402" s="20" t="s">
        <v>1204</v>
      </c>
      <c r="E402" s="20" t="s">
        <v>101</v>
      </c>
      <c r="F402" s="16">
        <v>41180.0</v>
      </c>
      <c r="G402" s="16">
        <v>42775.0</v>
      </c>
      <c r="H402" s="20">
        <f t="shared" si="1"/>
        <v>4.363888889</v>
      </c>
      <c r="I402" s="20" t="s">
        <v>1205</v>
      </c>
    </row>
    <row r="403" ht="12.75" customHeight="1">
      <c r="A403" s="14" t="s">
        <v>1206</v>
      </c>
      <c r="B403" s="14" t="s">
        <v>11</v>
      </c>
      <c r="C403" s="19" t="s">
        <v>45</v>
      </c>
      <c r="D403" s="20" t="s">
        <v>905</v>
      </c>
      <c r="E403" s="15" t="s">
        <v>34</v>
      </c>
      <c r="F403" s="16">
        <v>41183.0</v>
      </c>
      <c r="G403" s="16">
        <v>42423.0</v>
      </c>
      <c r="H403" s="17">
        <f t="shared" si="1"/>
        <v>3.394444444</v>
      </c>
      <c r="I403" s="14" t="s">
        <v>1207</v>
      </c>
      <c r="J403" s="18"/>
    </row>
    <row r="404" ht="15.75" customHeight="1">
      <c r="A404" s="14" t="s">
        <v>1208</v>
      </c>
      <c r="B404" s="14" t="s">
        <v>61</v>
      </c>
      <c r="C404" s="19" t="s">
        <v>45</v>
      </c>
      <c r="D404" s="20" t="s">
        <v>1209</v>
      </c>
      <c r="E404" s="20" t="s">
        <v>24</v>
      </c>
      <c r="F404" s="16">
        <v>41200.0</v>
      </c>
      <c r="G404" s="16">
        <v>41964.0</v>
      </c>
      <c r="H404" s="20">
        <f t="shared" si="1"/>
        <v>2.091666667</v>
      </c>
      <c r="I404" s="20" t="s">
        <v>1210</v>
      </c>
    </row>
    <row r="405" ht="15.75" customHeight="1">
      <c r="A405" s="14" t="s">
        <v>1211</v>
      </c>
      <c r="B405" s="14" t="s">
        <v>27</v>
      </c>
      <c r="C405" s="19" t="s">
        <v>45</v>
      </c>
      <c r="D405" s="20" t="s">
        <v>364</v>
      </c>
      <c r="E405" s="20" t="s">
        <v>58</v>
      </c>
      <c r="F405" s="16">
        <v>41249.0</v>
      </c>
      <c r="G405" s="16">
        <v>42739.0</v>
      </c>
      <c r="H405" s="20">
        <f t="shared" si="1"/>
        <v>4.077777778</v>
      </c>
      <c r="I405" s="20" t="s">
        <v>1212</v>
      </c>
    </row>
    <row r="406" ht="12.75" customHeight="1">
      <c r="A406" s="14" t="s">
        <v>1213</v>
      </c>
      <c r="B406" s="14" t="s">
        <v>56</v>
      </c>
      <c r="C406" s="19" t="s">
        <v>45</v>
      </c>
      <c r="D406" s="15" t="s">
        <v>690</v>
      </c>
      <c r="E406" s="15" t="s">
        <v>454</v>
      </c>
      <c r="F406" s="16">
        <v>41254.0</v>
      </c>
      <c r="G406" s="16">
        <v>42443.0</v>
      </c>
      <c r="H406" s="17">
        <f t="shared" si="1"/>
        <v>3.258333333</v>
      </c>
      <c r="I406" s="14" t="s">
        <v>1214</v>
      </c>
      <c r="J406" s="18"/>
    </row>
    <row r="407" ht="12.75" customHeight="1">
      <c r="A407" s="14" t="s">
        <v>1215</v>
      </c>
      <c r="B407" s="14" t="s">
        <v>116</v>
      </c>
      <c r="C407" s="19" t="s">
        <v>45</v>
      </c>
      <c r="D407" s="15" t="s">
        <v>1216</v>
      </c>
      <c r="E407" s="15" t="s">
        <v>492</v>
      </c>
      <c r="F407" s="16">
        <v>41254.0</v>
      </c>
      <c r="G407" s="16">
        <v>42212.0</v>
      </c>
      <c r="H407" s="17">
        <f t="shared" si="1"/>
        <v>2.627777778</v>
      </c>
      <c r="I407" s="14" t="s">
        <v>1217</v>
      </c>
      <c r="J407" s="32"/>
    </row>
    <row r="408" ht="12.75" customHeight="1">
      <c r="A408" s="14" t="s">
        <v>1218</v>
      </c>
      <c r="B408" s="14" t="s">
        <v>56</v>
      </c>
      <c r="C408" s="19" t="s">
        <v>45</v>
      </c>
      <c r="D408" s="15" t="s">
        <v>297</v>
      </c>
      <c r="E408" s="15" t="s">
        <v>128</v>
      </c>
      <c r="F408" s="16">
        <v>41249.0</v>
      </c>
      <c r="G408" s="16">
        <v>43473.0</v>
      </c>
      <c r="H408" s="17">
        <f t="shared" si="1"/>
        <v>6.088888889</v>
      </c>
      <c r="I408" s="14" t="s">
        <v>1219</v>
      </c>
      <c r="J408" s="32"/>
    </row>
    <row r="409" ht="15.75" customHeight="1">
      <c r="A409" s="14" t="s">
        <v>1220</v>
      </c>
      <c r="B409" s="14" t="s">
        <v>116</v>
      </c>
      <c r="C409" s="19" t="s">
        <v>12</v>
      </c>
      <c r="D409" s="20" t="s">
        <v>1221</v>
      </c>
      <c r="E409" s="20" t="s">
        <v>101</v>
      </c>
      <c r="F409" s="16">
        <v>41255.0</v>
      </c>
      <c r="G409" s="16">
        <v>43054.0</v>
      </c>
      <c r="H409" s="20">
        <f t="shared" si="1"/>
        <v>4.925</v>
      </c>
      <c r="I409" s="20" t="s">
        <v>1222</v>
      </c>
    </row>
    <row r="410" ht="12.75" customHeight="1">
      <c r="A410" s="14" t="s">
        <v>1223</v>
      </c>
      <c r="B410" s="14" t="s">
        <v>116</v>
      </c>
      <c r="C410" s="19" t="s">
        <v>12</v>
      </c>
      <c r="D410" s="20" t="s">
        <v>248</v>
      </c>
      <c r="E410" s="15" t="s">
        <v>34</v>
      </c>
      <c r="F410" s="16">
        <v>41255.0</v>
      </c>
      <c r="G410" s="16">
        <v>42382.0</v>
      </c>
      <c r="H410" s="17">
        <f t="shared" si="1"/>
        <v>3.086111111</v>
      </c>
      <c r="I410" s="14" t="s">
        <v>1224</v>
      </c>
      <c r="J410" s="33"/>
    </row>
    <row r="411" ht="15.75" customHeight="1">
      <c r="A411" s="14" t="s">
        <v>1225</v>
      </c>
      <c r="B411" s="14" t="s">
        <v>61</v>
      </c>
      <c r="C411" s="19" t="s">
        <v>12</v>
      </c>
      <c r="D411" s="20" t="s">
        <v>1118</v>
      </c>
      <c r="E411" s="20" t="s">
        <v>124</v>
      </c>
      <c r="F411" s="16">
        <v>41253.0</v>
      </c>
      <c r="G411" s="16">
        <v>42961.0</v>
      </c>
      <c r="H411" s="20">
        <f t="shared" si="1"/>
        <v>4.677777778</v>
      </c>
      <c r="I411" s="20" t="s">
        <v>1226</v>
      </c>
    </row>
    <row r="412" ht="15.75" customHeight="1">
      <c r="A412" s="14" t="s">
        <v>1227</v>
      </c>
      <c r="B412" s="14" t="s">
        <v>116</v>
      </c>
      <c r="C412" s="19" t="s">
        <v>12</v>
      </c>
      <c r="D412" s="20" t="s">
        <v>749</v>
      </c>
      <c r="E412" s="20" t="s">
        <v>58</v>
      </c>
      <c r="F412" s="16">
        <v>41310.0</v>
      </c>
      <c r="G412" s="16">
        <v>42276.0</v>
      </c>
      <c r="H412" s="20">
        <f t="shared" si="1"/>
        <v>2.65</v>
      </c>
      <c r="I412" s="20" t="s">
        <v>1228</v>
      </c>
    </row>
    <row r="413" ht="15.75" customHeight="1">
      <c r="A413" s="14" t="s">
        <v>1229</v>
      </c>
      <c r="B413" s="14" t="s">
        <v>61</v>
      </c>
      <c r="C413" s="19" t="s">
        <v>12</v>
      </c>
      <c r="D413" s="20" t="s">
        <v>629</v>
      </c>
      <c r="E413" s="20" t="s">
        <v>630</v>
      </c>
      <c r="F413" s="16">
        <v>41312.0</v>
      </c>
      <c r="G413" s="16">
        <v>42425.0</v>
      </c>
      <c r="H413" s="20">
        <f t="shared" si="1"/>
        <v>3.05</v>
      </c>
      <c r="I413" s="20" t="s">
        <v>1230</v>
      </c>
    </row>
    <row r="414" ht="12.75" customHeight="1">
      <c r="A414" s="14" t="s">
        <v>1231</v>
      </c>
      <c r="B414" s="14" t="s">
        <v>11</v>
      </c>
      <c r="C414" s="19" t="s">
        <v>12</v>
      </c>
      <c r="D414" s="15" t="s">
        <v>1232</v>
      </c>
      <c r="E414" s="15" t="s">
        <v>42</v>
      </c>
      <c r="F414" s="16">
        <v>41365.0</v>
      </c>
      <c r="G414" s="16">
        <v>42206.0</v>
      </c>
      <c r="H414" s="17">
        <f t="shared" si="1"/>
        <v>2.305555556</v>
      </c>
      <c r="I414" s="14" t="s">
        <v>1233</v>
      </c>
      <c r="J414" s="33"/>
    </row>
    <row r="415" ht="12.75" customHeight="1">
      <c r="A415" s="14" t="s">
        <v>1234</v>
      </c>
      <c r="B415" s="14" t="s">
        <v>61</v>
      </c>
      <c r="C415" s="19" t="s">
        <v>45</v>
      </c>
      <c r="D415" s="15" t="s">
        <v>1067</v>
      </c>
      <c r="E415" s="15" t="s">
        <v>14</v>
      </c>
      <c r="F415" s="16">
        <v>41365.0</v>
      </c>
      <c r="G415" s="16">
        <v>41884.0</v>
      </c>
      <c r="H415" s="17">
        <f t="shared" si="1"/>
        <v>1.419444444</v>
      </c>
      <c r="I415" s="14" t="s">
        <v>1235</v>
      </c>
      <c r="J415" s="33"/>
    </row>
    <row r="416" ht="12.75" customHeight="1">
      <c r="A416" s="14" t="s">
        <v>1236</v>
      </c>
      <c r="B416" s="14" t="s">
        <v>11</v>
      </c>
      <c r="C416" s="19" t="s">
        <v>45</v>
      </c>
      <c r="D416" s="15" t="s">
        <v>277</v>
      </c>
      <c r="E416" s="15" t="s">
        <v>128</v>
      </c>
      <c r="F416" s="16">
        <v>41365.0</v>
      </c>
      <c r="G416" s="16">
        <v>43283.0</v>
      </c>
      <c r="H416" s="17">
        <f t="shared" si="1"/>
        <v>5.252777778</v>
      </c>
      <c r="I416" s="14" t="s">
        <v>1237</v>
      </c>
      <c r="J416" s="33"/>
    </row>
    <row r="417" ht="12.75" customHeight="1">
      <c r="A417" s="14" t="s">
        <v>1238</v>
      </c>
      <c r="B417" s="14" t="s">
        <v>116</v>
      </c>
      <c r="C417" s="19" t="s">
        <v>45</v>
      </c>
      <c r="D417" s="15" t="s">
        <v>577</v>
      </c>
      <c r="E417" s="15" t="s">
        <v>58</v>
      </c>
      <c r="F417" s="16">
        <v>41430.0</v>
      </c>
      <c r="G417" s="16">
        <v>43201.0</v>
      </c>
      <c r="H417" s="17">
        <f t="shared" si="1"/>
        <v>4.85</v>
      </c>
      <c r="I417" s="14" t="s">
        <v>1239</v>
      </c>
      <c r="J417" s="33"/>
    </row>
    <row r="418" ht="12.75" customHeight="1">
      <c r="A418" s="14" t="s">
        <v>1240</v>
      </c>
      <c r="B418" s="14" t="s">
        <v>116</v>
      </c>
      <c r="C418" s="19" t="s">
        <v>45</v>
      </c>
      <c r="D418" s="20" t="s">
        <v>732</v>
      </c>
      <c r="E418" s="15" t="s">
        <v>678</v>
      </c>
      <c r="F418" s="16">
        <v>41435.0</v>
      </c>
      <c r="G418" s="16">
        <v>43033.0</v>
      </c>
      <c r="H418" s="17">
        <f t="shared" si="1"/>
        <v>4.375</v>
      </c>
      <c r="I418" s="14" t="s">
        <v>1241</v>
      </c>
      <c r="J418" s="33"/>
    </row>
    <row r="419" ht="15.75" customHeight="1">
      <c r="A419" s="14" t="s">
        <v>1242</v>
      </c>
      <c r="B419" s="14" t="s">
        <v>61</v>
      </c>
      <c r="C419" s="19" t="s">
        <v>45</v>
      </c>
      <c r="D419" s="20" t="s">
        <v>33</v>
      </c>
      <c r="E419" s="20" t="s">
        <v>34</v>
      </c>
      <c r="F419" s="16">
        <v>41436.0</v>
      </c>
      <c r="G419" s="16">
        <v>43054.0</v>
      </c>
      <c r="H419" s="20">
        <f t="shared" si="1"/>
        <v>4.427777778</v>
      </c>
      <c r="I419" s="20" t="s">
        <v>1243</v>
      </c>
    </row>
    <row r="420" ht="12.75" customHeight="1">
      <c r="A420" s="14" t="s">
        <v>1244</v>
      </c>
      <c r="B420" s="14" t="s">
        <v>22</v>
      </c>
      <c r="C420" s="19" t="s">
        <v>45</v>
      </c>
      <c r="D420" s="15" t="s">
        <v>1245</v>
      </c>
      <c r="E420" s="15" t="s">
        <v>38</v>
      </c>
      <c r="F420" s="16">
        <v>41431.0</v>
      </c>
      <c r="G420" s="16">
        <v>41814.0</v>
      </c>
      <c r="H420" s="17">
        <f t="shared" si="1"/>
        <v>1.05</v>
      </c>
      <c r="I420" s="14" t="s">
        <v>1246</v>
      </c>
      <c r="J420" s="33"/>
    </row>
    <row r="421" ht="12.75" customHeight="1">
      <c r="A421" s="14" t="s">
        <v>1247</v>
      </c>
      <c r="B421" s="14" t="s">
        <v>116</v>
      </c>
      <c r="C421" s="19" t="s">
        <v>45</v>
      </c>
      <c r="D421" s="15" t="s">
        <v>1248</v>
      </c>
      <c r="E421" s="15" t="s">
        <v>38</v>
      </c>
      <c r="F421" s="16">
        <v>41432.0</v>
      </c>
      <c r="G421" s="16">
        <v>43628.0</v>
      </c>
      <c r="H421" s="17">
        <f t="shared" si="1"/>
        <v>6.013888889</v>
      </c>
      <c r="I421" s="14" t="s">
        <v>1249</v>
      </c>
      <c r="J421" s="33"/>
    </row>
    <row r="422" ht="15.75" customHeight="1">
      <c r="A422" s="14" t="s">
        <v>1250</v>
      </c>
      <c r="B422" s="14" t="s">
        <v>439</v>
      </c>
      <c r="C422" s="19" t="s">
        <v>45</v>
      </c>
      <c r="D422" s="20" t="s">
        <v>1251</v>
      </c>
      <c r="E422" s="20" t="s">
        <v>101</v>
      </c>
      <c r="F422" s="16">
        <v>41430.0</v>
      </c>
      <c r="G422" s="16">
        <v>42702.0</v>
      </c>
      <c r="H422" s="20">
        <f t="shared" si="1"/>
        <v>3.480555556</v>
      </c>
      <c r="I422" s="20" t="s">
        <v>1252</v>
      </c>
    </row>
    <row r="423" ht="15.75" customHeight="1">
      <c r="A423" s="14" t="s">
        <v>1253</v>
      </c>
      <c r="B423" s="14" t="s">
        <v>27</v>
      </c>
      <c r="C423" s="19" t="s">
        <v>45</v>
      </c>
      <c r="D423" s="20" t="s">
        <v>449</v>
      </c>
      <c r="E423" s="20" t="s">
        <v>30</v>
      </c>
      <c r="F423" s="16">
        <v>41493.0</v>
      </c>
      <c r="G423" s="16">
        <v>42566.0</v>
      </c>
      <c r="H423" s="20">
        <f t="shared" si="1"/>
        <v>2.938888889</v>
      </c>
      <c r="I423" s="20" t="s">
        <v>1254</v>
      </c>
    </row>
    <row r="424" ht="12.75" customHeight="1">
      <c r="A424" s="14" t="s">
        <v>1255</v>
      </c>
      <c r="B424" s="14" t="s">
        <v>439</v>
      </c>
      <c r="C424" s="19" t="s">
        <v>45</v>
      </c>
      <c r="D424" s="20" t="s">
        <v>638</v>
      </c>
      <c r="E424" s="15" t="s">
        <v>124</v>
      </c>
      <c r="F424" s="16">
        <v>41492.0</v>
      </c>
      <c r="G424" s="16">
        <v>43297.0</v>
      </c>
      <c r="H424" s="17">
        <f t="shared" si="1"/>
        <v>4.944444444</v>
      </c>
      <c r="I424" s="14" t="s">
        <v>1256</v>
      </c>
      <c r="J424" s="33"/>
    </row>
    <row r="425" ht="12.75" customHeight="1">
      <c r="A425" s="14" t="s">
        <v>1257</v>
      </c>
      <c r="B425" s="14" t="s">
        <v>27</v>
      </c>
      <c r="C425" s="19" t="s">
        <v>45</v>
      </c>
      <c r="D425" s="15" t="s">
        <v>1155</v>
      </c>
      <c r="E425" s="15" t="s">
        <v>19</v>
      </c>
      <c r="F425" s="16">
        <v>41492.0</v>
      </c>
      <c r="G425" s="16">
        <v>42269.0</v>
      </c>
      <c r="H425" s="17">
        <f t="shared" si="1"/>
        <v>2.127777778</v>
      </c>
      <c r="I425" s="14" t="s">
        <v>1258</v>
      </c>
      <c r="J425" s="33"/>
    </row>
    <row r="426" ht="12.75" customHeight="1">
      <c r="A426" s="14" t="s">
        <v>1259</v>
      </c>
      <c r="B426" s="14" t="s">
        <v>11</v>
      </c>
      <c r="C426" s="19" t="s">
        <v>45</v>
      </c>
      <c r="D426" s="15" t="s">
        <v>957</v>
      </c>
      <c r="E426" s="15" t="s">
        <v>58</v>
      </c>
      <c r="F426" s="16">
        <v>41500.0</v>
      </c>
      <c r="G426" s="16">
        <v>42745.0</v>
      </c>
      <c r="H426" s="17">
        <f t="shared" si="1"/>
        <v>3.405555556</v>
      </c>
      <c r="I426" s="14" t="s">
        <v>1260</v>
      </c>
      <c r="J426" s="33"/>
    </row>
    <row r="427" ht="15.75" customHeight="1">
      <c r="A427" s="14" t="s">
        <v>1261</v>
      </c>
      <c r="B427" s="14" t="s">
        <v>61</v>
      </c>
      <c r="C427" s="19" t="s">
        <v>45</v>
      </c>
      <c r="D427" s="20" t="s">
        <v>1262</v>
      </c>
      <c r="E427" s="20" t="s">
        <v>63</v>
      </c>
      <c r="F427" s="16">
        <v>41565.0</v>
      </c>
      <c r="G427" s="16">
        <v>42241.0</v>
      </c>
      <c r="H427" s="20">
        <f t="shared" si="1"/>
        <v>1.852777778</v>
      </c>
      <c r="I427" s="20" t="s">
        <v>1263</v>
      </c>
    </row>
    <row r="428" ht="12.75" customHeight="1">
      <c r="A428" s="14" t="s">
        <v>1264</v>
      </c>
      <c r="B428" s="14" t="s">
        <v>56</v>
      </c>
      <c r="C428" s="19" t="s">
        <v>45</v>
      </c>
      <c r="D428" s="15" t="s">
        <v>92</v>
      </c>
      <c r="E428" s="15" t="s">
        <v>34</v>
      </c>
      <c r="F428" s="16">
        <v>41565.0</v>
      </c>
      <c r="G428" s="16">
        <v>43230.0</v>
      </c>
      <c r="H428" s="17">
        <f t="shared" si="1"/>
        <v>4.561111111</v>
      </c>
      <c r="I428" s="14" t="s">
        <v>1265</v>
      </c>
      <c r="J428" s="32"/>
    </row>
    <row r="429" ht="15.75" customHeight="1">
      <c r="A429" s="14" t="s">
        <v>1266</v>
      </c>
      <c r="B429" s="14" t="s">
        <v>61</v>
      </c>
      <c r="C429" s="19" t="s">
        <v>45</v>
      </c>
      <c r="D429" s="20" t="s">
        <v>163</v>
      </c>
      <c r="E429" s="20" t="s">
        <v>164</v>
      </c>
      <c r="F429" s="16">
        <v>41563.0</v>
      </c>
      <c r="G429" s="16">
        <v>42233.0</v>
      </c>
      <c r="H429" s="20">
        <f t="shared" si="1"/>
        <v>1.836111111</v>
      </c>
      <c r="I429" s="20" t="s">
        <v>1267</v>
      </c>
    </row>
    <row r="430" ht="15.75" customHeight="1">
      <c r="A430" s="14" t="s">
        <v>1268</v>
      </c>
      <c r="B430" s="14" t="s">
        <v>61</v>
      </c>
      <c r="C430" s="19" t="s">
        <v>45</v>
      </c>
      <c r="D430" s="20" t="s">
        <v>1178</v>
      </c>
      <c r="E430" s="20" t="s">
        <v>288</v>
      </c>
      <c r="F430" s="16">
        <v>41557.0</v>
      </c>
      <c r="G430" s="16">
        <v>42573.0</v>
      </c>
      <c r="H430" s="20">
        <f t="shared" si="1"/>
        <v>2.783333333</v>
      </c>
      <c r="I430" s="20" t="s">
        <v>1269</v>
      </c>
    </row>
    <row r="431" ht="12.75" customHeight="1">
      <c r="A431" s="14" t="s">
        <v>1270</v>
      </c>
      <c r="B431" s="14" t="s">
        <v>56</v>
      </c>
      <c r="C431" s="19" t="s">
        <v>45</v>
      </c>
      <c r="D431" s="15" t="s">
        <v>1106</v>
      </c>
      <c r="E431" s="15" t="s">
        <v>38</v>
      </c>
      <c r="F431" s="16">
        <v>41563.0</v>
      </c>
      <c r="G431" s="16">
        <v>42579.0</v>
      </c>
      <c r="H431" s="17">
        <f t="shared" si="1"/>
        <v>2.783333333</v>
      </c>
      <c r="I431" s="14" t="s">
        <v>1271</v>
      </c>
      <c r="J431" s="33"/>
    </row>
    <row r="432" ht="12.75" customHeight="1">
      <c r="A432" s="14" t="s">
        <v>1272</v>
      </c>
      <c r="B432" s="14" t="s">
        <v>61</v>
      </c>
      <c r="C432" s="19" t="s">
        <v>45</v>
      </c>
      <c r="D432" s="15" t="s">
        <v>491</v>
      </c>
      <c r="E432" s="15" t="s">
        <v>492</v>
      </c>
      <c r="F432" s="16">
        <v>41555.0</v>
      </c>
      <c r="G432" s="16">
        <v>43481.0</v>
      </c>
      <c r="H432" s="17">
        <f t="shared" si="1"/>
        <v>5.272222222</v>
      </c>
      <c r="I432" s="14" t="s">
        <v>1273</v>
      </c>
      <c r="J432" s="33"/>
    </row>
    <row r="433" ht="12.75" customHeight="1">
      <c r="A433" s="14" t="s">
        <v>1274</v>
      </c>
      <c r="B433" s="14" t="s">
        <v>56</v>
      </c>
      <c r="C433" s="19" t="s">
        <v>45</v>
      </c>
      <c r="D433" s="15" t="s">
        <v>1275</v>
      </c>
      <c r="E433" s="15" t="s">
        <v>38</v>
      </c>
      <c r="F433" s="16">
        <v>41624.0</v>
      </c>
      <c r="G433" s="16">
        <v>42655.0</v>
      </c>
      <c r="H433" s="17">
        <f t="shared" si="1"/>
        <v>2.822222222</v>
      </c>
      <c r="I433" s="14" t="s">
        <v>1276</v>
      </c>
      <c r="J433" s="33"/>
    </row>
    <row r="434" ht="15.75" customHeight="1">
      <c r="A434" s="14" t="s">
        <v>1277</v>
      </c>
      <c r="B434" s="14" t="s">
        <v>61</v>
      </c>
      <c r="C434" s="19" t="s">
        <v>45</v>
      </c>
      <c r="D434" s="20" t="s">
        <v>498</v>
      </c>
      <c r="E434" s="20" t="s">
        <v>499</v>
      </c>
      <c r="F434" s="16">
        <v>41627.0</v>
      </c>
      <c r="G434" s="16">
        <v>42586.0</v>
      </c>
      <c r="H434" s="20">
        <f t="shared" si="1"/>
        <v>2.625</v>
      </c>
      <c r="I434" s="20" t="s">
        <v>1278</v>
      </c>
    </row>
    <row r="435" ht="12.75" hidden="1" customHeight="1">
      <c r="A435" s="14" t="s">
        <v>1279</v>
      </c>
      <c r="B435" s="14"/>
      <c r="C435" s="12" t="s">
        <v>66</v>
      </c>
      <c r="D435" s="15" t="s">
        <v>1280</v>
      </c>
      <c r="E435" s="15" t="s">
        <v>205</v>
      </c>
      <c r="F435" s="16">
        <v>41435.0</v>
      </c>
      <c r="G435" s="16">
        <v>41795.0</v>
      </c>
      <c r="H435" s="17">
        <f t="shared" si="1"/>
        <v>0.9861111111</v>
      </c>
      <c r="I435" s="14" t="s">
        <v>1281</v>
      </c>
      <c r="J435" s="33"/>
    </row>
    <row r="436" ht="12.75" customHeight="1">
      <c r="A436" s="14" t="s">
        <v>1282</v>
      </c>
      <c r="B436" s="14" t="s">
        <v>116</v>
      </c>
      <c r="C436" s="19" t="s">
        <v>45</v>
      </c>
      <c r="D436" s="20" t="s">
        <v>1283</v>
      </c>
      <c r="E436" s="20" t="s">
        <v>533</v>
      </c>
      <c r="F436" s="16">
        <v>41625.0</v>
      </c>
      <c r="G436" s="16">
        <v>42445.0</v>
      </c>
      <c r="H436" s="20">
        <f t="shared" si="1"/>
        <v>2.247222222</v>
      </c>
      <c r="I436" s="20" t="s">
        <v>1284</v>
      </c>
      <c r="J436" s="33"/>
    </row>
    <row r="437" ht="15.75" customHeight="1">
      <c r="A437" s="14" t="s">
        <v>1285</v>
      </c>
      <c r="B437" s="14" t="s">
        <v>61</v>
      </c>
      <c r="C437" s="19" t="s">
        <v>45</v>
      </c>
      <c r="D437" s="20" t="s">
        <v>1286</v>
      </c>
      <c r="E437" s="20" t="s">
        <v>1287</v>
      </c>
      <c r="F437" s="16">
        <v>41621.0</v>
      </c>
      <c r="G437" s="16">
        <v>42592.0</v>
      </c>
      <c r="H437" s="20">
        <f t="shared" si="1"/>
        <v>2.658333333</v>
      </c>
      <c r="I437" s="20" t="s">
        <v>1288</v>
      </c>
    </row>
    <row r="438" ht="15.75" customHeight="1">
      <c r="A438" s="14" t="s">
        <v>1289</v>
      </c>
      <c r="B438" s="14" t="s">
        <v>584</v>
      </c>
      <c r="C438" s="19" t="s">
        <v>45</v>
      </c>
      <c r="D438" s="20" t="s">
        <v>1290</v>
      </c>
      <c r="E438" s="20" t="s">
        <v>14</v>
      </c>
      <c r="F438" s="16">
        <v>41621.0</v>
      </c>
      <c r="G438" s="16">
        <v>43335.0</v>
      </c>
      <c r="H438" s="20">
        <f t="shared" si="1"/>
        <v>4.694444444</v>
      </c>
      <c r="I438" s="20" t="s">
        <v>1291</v>
      </c>
    </row>
    <row r="439" ht="15.75" customHeight="1">
      <c r="A439" s="14" t="s">
        <v>1292</v>
      </c>
      <c r="B439" s="14" t="s">
        <v>116</v>
      </c>
      <c r="C439" s="19" t="s">
        <v>45</v>
      </c>
      <c r="D439" s="20" t="s">
        <v>1283</v>
      </c>
      <c r="E439" s="15" t="s">
        <v>533</v>
      </c>
      <c r="F439" s="16">
        <v>41625.0</v>
      </c>
      <c r="G439" s="16">
        <v>42430.0</v>
      </c>
      <c r="H439" s="17">
        <f t="shared" si="1"/>
        <v>2.205555556</v>
      </c>
      <c r="I439" s="14" t="s">
        <v>1293</v>
      </c>
    </row>
    <row r="440" ht="12.75" customHeight="1">
      <c r="A440" s="14" t="s">
        <v>1294</v>
      </c>
      <c r="B440" s="14" t="s">
        <v>27</v>
      </c>
      <c r="C440" s="19" t="s">
        <v>45</v>
      </c>
      <c r="D440" s="15" t="s">
        <v>1295</v>
      </c>
      <c r="E440" s="15" t="s">
        <v>284</v>
      </c>
      <c r="F440" s="16">
        <v>41688.0</v>
      </c>
      <c r="G440" s="16">
        <v>42793.0</v>
      </c>
      <c r="H440" s="17">
        <f t="shared" si="1"/>
        <v>3.025</v>
      </c>
      <c r="I440" s="14" t="s">
        <v>1296</v>
      </c>
      <c r="J440" s="34"/>
    </row>
    <row r="441" ht="12.75" hidden="1" customHeight="1">
      <c r="A441" s="14" t="s">
        <v>1297</v>
      </c>
      <c r="B441" s="14"/>
      <c r="C441" s="12" t="s">
        <v>66</v>
      </c>
      <c r="D441" s="15" t="s">
        <v>1298</v>
      </c>
      <c r="E441" s="15" t="s">
        <v>128</v>
      </c>
      <c r="F441" s="16">
        <v>41695.0</v>
      </c>
      <c r="G441" s="16">
        <v>41907.0</v>
      </c>
      <c r="H441" s="17">
        <f t="shared" si="1"/>
        <v>0.5833333333</v>
      </c>
      <c r="I441" s="14" t="s">
        <v>1299</v>
      </c>
      <c r="J441" s="34"/>
    </row>
    <row r="442" ht="15.75" customHeight="1">
      <c r="A442" s="14" t="s">
        <v>1300</v>
      </c>
      <c r="B442" s="14" t="s">
        <v>116</v>
      </c>
      <c r="C442" s="19" t="s">
        <v>45</v>
      </c>
      <c r="D442" s="20" t="s">
        <v>1301</v>
      </c>
      <c r="E442" s="20" t="s">
        <v>34</v>
      </c>
      <c r="F442" s="16">
        <v>41688.0</v>
      </c>
      <c r="G442" s="16">
        <v>43230.0</v>
      </c>
      <c r="H442" s="20">
        <f t="shared" si="1"/>
        <v>4.227777778</v>
      </c>
      <c r="I442" s="20" t="s">
        <v>1302</v>
      </c>
    </row>
    <row r="443" ht="12.75" customHeight="1">
      <c r="A443" s="14" t="s">
        <v>1303</v>
      </c>
      <c r="B443" s="14" t="s">
        <v>56</v>
      </c>
      <c r="C443" s="19" t="s">
        <v>45</v>
      </c>
      <c r="D443" s="15" t="s">
        <v>1304</v>
      </c>
      <c r="E443" s="15" t="s">
        <v>508</v>
      </c>
      <c r="F443" s="16">
        <v>41688.0</v>
      </c>
      <c r="G443" s="16">
        <v>42923.0</v>
      </c>
      <c r="H443" s="17">
        <f t="shared" si="1"/>
        <v>3.386111111</v>
      </c>
      <c r="I443" s="14" t="s">
        <v>1305</v>
      </c>
      <c r="J443" s="33"/>
    </row>
    <row r="444" ht="12.75" customHeight="1">
      <c r="A444" s="19" t="s">
        <v>1306</v>
      </c>
      <c r="B444" s="14" t="s">
        <v>11</v>
      </c>
      <c r="C444" s="19" t="s">
        <v>45</v>
      </c>
      <c r="D444" s="15" t="s">
        <v>1307</v>
      </c>
      <c r="E444" s="15" t="s">
        <v>1308</v>
      </c>
      <c r="F444" s="16">
        <v>41689.0</v>
      </c>
      <c r="G444" s="16">
        <v>42072.0</v>
      </c>
      <c r="H444" s="17">
        <f t="shared" si="1"/>
        <v>1.055555556</v>
      </c>
      <c r="I444" s="14" t="s">
        <v>1309</v>
      </c>
      <c r="J444" s="33"/>
    </row>
    <row r="445" ht="12.75" customHeight="1">
      <c r="A445" s="14" t="s">
        <v>1310</v>
      </c>
      <c r="B445" s="14" t="s">
        <v>27</v>
      </c>
      <c r="C445" s="19" t="s">
        <v>45</v>
      </c>
      <c r="D445" s="20" t="s">
        <v>661</v>
      </c>
      <c r="E445" s="15" t="s">
        <v>662</v>
      </c>
      <c r="F445" s="16">
        <v>41688.0</v>
      </c>
      <c r="G445" s="16">
        <v>42745.0</v>
      </c>
      <c r="H445" s="17">
        <f t="shared" si="1"/>
        <v>2.894444444</v>
      </c>
      <c r="I445" s="14" t="s">
        <v>1311</v>
      </c>
      <c r="J445" s="33"/>
    </row>
    <row r="446" ht="15.75" customHeight="1">
      <c r="A446" s="14" t="s">
        <v>1312</v>
      </c>
      <c r="B446" s="14" t="s">
        <v>61</v>
      </c>
      <c r="C446" s="19" t="s">
        <v>45</v>
      </c>
      <c r="D446" s="20" t="s">
        <v>277</v>
      </c>
      <c r="E446" s="20" t="s">
        <v>128</v>
      </c>
      <c r="F446" s="16">
        <v>41688.0</v>
      </c>
      <c r="G446" s="16">
        <v>43294.0</v>
      </c>
      <c r="H446" s="20">
        <f t="shared" si="1"/>
        <v>4.402777778</v>
      </c>
      <c r="I446" s="20" t="s">
        <v>1313</v>
      </c>
    </row>
    <row r="447" ht="15.75" customHeight="1">
      <c r="A447" s="14" t="s">
        <v>1314</v>
      </c>
      <c r="B447" s="14" t="s">
        <v>27</v>
      </c>
      <c r="C447" s="19" t="s">
        <v>45</v>
      </c>
      <c r="D447" s="20" t="s">
        <v>283</v>
      </c>
      <c r="E447" s="20" t="s">
        <v>284</v>
      </c>
      <c r="F447" s="16">
        <v>41684.0</v>
      </c>
      <c r="G447" s="16">
        <v>43193.0</v>
      </c>
      <c r="H447" s="20">
        <f t="shared" si="1"/>
        <v>4.136111111</v>
      </c>
      <c r="I447" s="20" t="s">
        <v>1315</v>
      </c>
    </row>
    <row r="448" ht="12.75" customHeight="1">
      <c r="A448" s="14" t="s">
        <v>1316</v>
      </c>
      <c r="B448" s="14" t="s">
        <v>439</v>
      </c>
      <c r="C448" s="19" t="s">
        <v>45</v>
      </c>
      <c r="D448" s="15" t="s">
        <v>1317</v>
      </c>
      <c r="E448" s="15" t="s">
        <v>461</v>
      </c>
      <c r="F448" s="16">
        <v>41736.0</v>
      </c>
      <c r="G448" s="16">
        <v>42275.0</v>
      </c>
      <c r="H448" s="17">
        <f t="shared" si="1"/>
        <v>1.475</v>
      </c>
      <c r="I448" s="14" t="s">
        <v>1318</v>
      </c>
      <c r="J448" s="33"/>
    </row>
    <row r="449" ht="15.75" customHeight="1">
      <c r="A449" s="14" t="s">
        <v>1319</v>
      </c>
      <c r="B449" s="14" t="s">
        <v>61</v>
      </c>
      <c r="C449" s="19" t="s">
        <v>45</v>
      </c>
      <c r="D449" s="20" t="s">
        <v>638</v>
      </c>
      <c r="E449" s="20" t="s">
        <v>124</v>
      </c>
      <c r="F449" s="16">
        <v>41736.0</v>
      </c>
      <c r="G449" s="16">
        <v>42205.0</v>
      </c>
      <c r="H449" s="20">
        <f t="shared" si="1"/>
        <v>1.286111111</v>
      </c>
      <c r="I449" s="20" t="s">
        <v>1320</v>
      </c>
    </row>
    <row r="450" ht="12.75" customHeight="1">
      <c r="A450" s="14" t="s">
        <v>1321</v>
      </c>
      <c r="B450" s="14" t="s">
        <v>56</v>
      </c>
      <c r="C450" s="19" t="s">
        <v>45</v>
      </c>
      <c r="D450" s="15" t="s">
        <v>1322</v>
      </c>
      <c r="E450" s="15" t="s">
        <v>14</v>
      </c>
      <c r="F450" s="16">
        <v>41732.0</v>
      </c>
      <c r="G450" s="16">
        <v>43367.0</v>
      </c>
      <c r="H450" s="17">
        <f t="shared" si="1"/>
        <v>4.475</v>
      </c>
      <c r="I450" s="14" t="s">
        <v>1323</v>
      </c>
      <c r="J450" s="32"/>
    </row>
    <row r="451" ht="15.75" customHeight="1">
      <c r="A451" s="14" t="s">
        <v>1324</v>
      </c>
      <c r="B451" s="14" t="s">
        <v>61</v>
      </c>
      <c r="C451" s="19" t="s">
        <v>12</v>
      </c>
      <c r="D451" s="20" t="s">
        <v>1325</v>
      </c>
      <c r="E451" s="20" t="s">
        <v>188</v>
      </c>
      <c r="F451" s="16">
        <v>41737.0</v>
      </c>
      <c r="G451" s="16">
        <v>42198.0</v>
      </c>
      <c r="H451" s="20">
        <f t="shared" si="1"/>
        <v>1.263888889</v>
      </c>
      <c r="I451" s="20" t="s">
        <v>1326</v>
      </c>
    </row>
    <row r="452" ht="12.75" customHeight="1">
      <c r="A452" s="14" t="s">
        <v>1327</v>
      </c>
      <c r="B452" s="14" t="s">
        <v>116</v>
      </c>
      <c r="C452" s="19" t="s">
        <v>45</v>
      </c>
      <c r="D452" s="20" t="s">
        <v>1283</v>
      </c>
      <c r="E452" s="15" t="s">
        <v>533</v>
      </c>
      <c r="F452" s="16">
        <v>41800.0</v>
      </c>
      <c r="G452" s="16">
        <v>43348.0</v>
      </c>
      <c r="H452" s="17">
        <f t="shared" si="1"/>
        <v>4.236111111</v>
      </c>
      <c r="I452" s="14" t="s">
        <v>1328</v>
      </c>
      <c r="J452" s="33"/>
    </row>
    <row r="453" ht="15.75" customHeight="1">
      <c r="A453" s="14" t="s">
        <v>1329</v>
      </c>
      <c r="B453" s="14" t="s">
        <v>111</v>
      </c>
      <c r="C453" s="19" t="s">
        <v>45</v>
      </c>
      <c r="D453" s="20" t="s">
        <v>749</v>
      </c>
      <c r="E453" s="20" t="s">
        <v>58</v>
      </c>
      <c r="F453" s="16">
        <v>41794.0</v>
      </c>
      <c r="G453" s="16">
        <v>43210.0</v>
      </c>
      <c r="H453" s="20">
        <f t="shared" si="1"/>
        <v>3.877777778</v>
      </c>
      <c r="I453" s="20" t="s">
        <v>1330</v>
      </c>
    </row>
    <row r="454" ht="12.75" customHeight="1">
      <c r="A454" s="14" t="s">
        <v>1331</v>
      </c>
      <c r="B454" s="14" t="s">
        <v>61</v>
      </c>
      <c r="C454" s="19" t="s">
        <v>45</v>
      </c>
      <c r="D454" s="20" t="s">
        <v>565</v>
      </c>
      <c r="E454" s="15" t="s">
        <v>14</v>
      </c>
      <c r="F454" s="16">
        <v>41794.0</v>
      </c>
      <c r="G454" s="16">
        <v>43242.0</v>
      </c>
      <c r="H454" s="17">
        <f t="shared" si="1"/>
        <v>3.966666667</v>
      </c>
      <c r="I454" s="14" t="s">
        <v>1332</v>
      </c>
      <c r="J454" s="33"/>
    </row>
    <row r="455" ht="12.75" hidden="1" customHeight="1">
      <c r="A455" s="14" t="s">
        <v>1333</v>
      </c>
      <c r="B455" s="14"/>
      <c r="C455" s="12" t="s">
        <v>66</v>
      </c>
      <c r="D455" s="15" t="s">
        <v>1334</v>
      </c>
      <c r="E455" s="15" t="s">
        <v>132</v>
      </c>
      <c r="F455" s="16">
        <v>41802.0</v>
      </c>
      <c r="G455" s="16">
        <v>42044.0</v>
      </c>
      <c r="H455" s="17">
        <f t="shared" si="1"/>
        <v>0.6583333333</v>
      </c>
      <c r="I455" s="14" t="s">
        <v>1335</v>
      </c>
      <c r="J455" s="33"/>
    </row>
    <row r="456" ht="15.75" customHeight="1">
      <c r="A456" s="14" t="s">
        <v>1336</v>
      </c>
      <c r="B456" s="14" t="s">
        <v>27</v>
      </c>
      <c r="C456" s="19" t="s">
        <v>45</v>
      </c>
      <c r="D456" s="20" t="s">
        <v>1337</v>
      </c>
      <c r="E456" s="20" t="s">
        <v>34</v>
      </c>
      <c r="F456" s="16">
        <v>41801.0</v>
      </c>
      <c r="G456" s="16">
        <v>42640.0</v>
      </c>
      <c r="H456" s="20">
        <f t="shared" si="1"/>
        <v>2.294444444</v>
      </c>
      <c r="I456" s="20" t="s">
        <v>1338</v>
      </c>
    </row>
    <row r="457" ht="12.75" customHeight="1">
      <c r="A457" s="14" t="s">
        <v>1339</v>
      </c>
      <c r="B457" s="14" t="s">
        <v>116</v>
      </c>
      <c r="C457" s="19" t="s">
        <v>45</v>
      </c>
      <c r="D457" s="15" t="s">
        <v>191</v>
      </c>
      <c r="E457" s="15" t="s">
        <v>63</v>
      </c>
      <c r="F457" s="16">
        <v>41929.0</v>
      </c>
      <c r="G457" s="16">
        <v>43320.0</v>
      </c>
      <c r="H457" s="17">
        <f t="shared" si="1"/>
        <v>3.808333333</v>
      </c>
      <c r="I457" s="14" t="s">
        <v>1340</v>
      </c>
      <c r="J457" s="33"/>
    </row>
    <row r="458" ht="15.75" customHeight="1">
      <c r="A458" s="14" t="s">
        <v>1341</v>
      </c>
      <c r="B458" s="14" t="s">
        <v>61</v>
      </c>
      <c r="C458" s="19" t="s">
        <v>45</v>
      </c>
      <c r="D458" s="20" t="s">
        <v>411</v>
      </c>
      <c r="E458" s="20" t="s">
        <v>140</v>
      </c>
      <c r="F458" s="16">
        <v>41927.0</v>
      </c>
      <c r="G458" s="16">
        <v>42417.0</v>
      </c>
      <c r="H458" s="20">
        <f t="shared" si="1"/>
        <v>1.338888889</v>
      </c>
      <c r="I458" s="20" t="s">
        <v>1342</v>
      </c>
    </row>
    <row r="459" ht="15.75" hidden="1" customHeight="1">
      <c r="A459" s="14" t="s">
        <v>1343</v>
      </c>
      <c r="B459" s="14"/>
      <c r="C459" s="12" t="s">
        <v>66</v>
      </c>
      <c r="D459" s="20" t="s">
        <v>1344</v>
      </c>
      <c r="E459" s="20" t="s">
        <v>533</v>
      </c>
      <c r="F459" s="16">
        <v>41926.0</v>
      </c>
      <c r="G459" s="16">
        <v>42222.0</v>
      </c>
      <c r="H459" s="20">
        <f t="shared" si="1"/>
        <v>0.8111111111</v>
      </c>
      <c r="I459" s="20" t="s">
        <v>1345</v>
      </c>
    </row>
    <row r="460" ht="12.75" customHeight="1">
      <c r="A460" s="14" t="s">
        <v>1346</v>
      </c>
      <c r="B460" s="14" t="s">
        <v>27</v>
      </c>
      <c r="C460" s="19" t="s">
        <v>45</v>
      </c>
      <c r="D460" s="14" t="s">
        <v>180</v>
      </c>
      <c r="E460" s="15" t="s">
        <v>34</v>
      </c>
      <c r="F460" s="16">
        <v>41985.0</v>
      </c>
      <c r="G460" s="16">
        <v>42965.0</v>
      </c>
      <c r="H460" s="17">
        <f t="shared" si="1"/>
        <v>2.683333333</v>
      </c>
      <c r="I460" s="14" t="s">
        <v>1347</v>
      </c>
      <c r="J460" s="33"/>
    </row>
    <row r="461" ht="15.75" customHeight="1">
      <c r="A461" s="14" t="s">
        <v>1348</v>
      </c>
      <c r="B461" s="14" t="s">
        <v>11</v>
      </c>
      <c r="C461" s="19" t="s">
        <v>45</v>
      </c>
      <c r="D461" s="20" t="s">
        <v>652</v>
      </c>
      <c r="E461" s="20" t="s">
        <v>533</v>
      </c>
      <c r="F461" s="16">
        <v>41985.0</v>
      </c>
      <c r="G461" s="16">
        <v>43322.0</v>
      </c>
      <c r="H461" s="20">
        <f t="shared" si="1"/>
        <v>3.661111111</v>
      </c>
      <c r="I461" s="20" t="s">
        <v>1349</v>
      </c>
    </row>
    <row r="462" ht="15.75" customHeight="1">
      <c r="A462" s="14" t="s">
        <v>1350</v>
      </c>
      <c r="B462" s="14" t="s">
        <v>61</v>
      </c>
      <c r="C462" s="19" t="s">
        <v>45</v>
      </c>
      <c r="D462" s="20" t="s">
        <v>323</v>
      </c>
      <c r="E462" s="20" t="s">
        <v>324</v>
      </c>
      <c r="F462" s="16">
        <v>41984.0</v>
      </c>
      <c r="G462" s="16">
        <v>43019.0</v>
      </c>
      <c r="H462" s="20">
        <f t="shared" si="1"/>
        <v>2.833333333</v>
      </c>
      <c r="I462" s="20" t="s">
        <v>1351</v>
      </c>
    </row>
    <row r="463" ht="12.75" customHeight="1">
      <c r="A463" s="14" t="s">
        <v>1352</v>
      </c>
      <c r="B463" s="14" t="s">
        <v>116</v>
      </c>
      <c r="C463" s="19" t="s">
        <v>45</v>
      </c>
      <c r="D463" s="15" t="s">
        <v>1353</v>
      </c>
      <c r="E463" s="15" t="s">
        <v>1354</v>
      </c>
      <c r="F463" s="16">
        <v>41983.0</v>
      </c>
      <c r="G463" s="16">
        <v>42788.0</v>
      </c>
      <c r="H463" s="17">
        <f t="shared" si="1"/>
        <v>2.2</v>
      </c>
      <c r="I463" s="14" t="s">
        <v>1355</v>
      </c>
      <c r="J463" s="33"/>
    </row>
    <row r="464" ht="15.75" customHeight="1">
      <c r="A464" s="14" t="s">
        <v>1356</v>
      </c>
      <c r="B464" s="14" t="s">
        <v>11</v>
      </c>
      <c r="C464" s="19" t="s">
        <v>45</v>
      </c>
      <c r="D464" s="20" t="s">
        <v>1357</v>
      </c>
      <c r="E464" s="20" t="s">
        <v>14</v>
      </c>
      <c r="F464" s="16">
        <v>42041.0</v>
      </c>
      <c r="G464" s="16">
        <v>43045.0</v>
      </c>
      <c r="H464" s="20">
        <f t="shared" si="1"/>
        <v>2.75</v>
      </c>
      <c r="I464" s="20" t="s">
        <v>1358</v>
      </c>
    </row>
    <row r="465" ht="15.75" customHeight="1">
      <c r="A465" s="14" t="s">
        <v>1359</v>
      </c>
      <c r="B465" s="14" t="s">
        <v>27</v>
      </c>
      <c r="C465" s="19" t="s">
        <v>45</v>
      </c>
      <c r="D465" s="20" t="s">
        <v>974</v>
      </c>
      <c r="E465" s="20" t="s">
        <v>124</v>
      </c>
      <c r="F465" s="16">
        <v>42041.0</v>
      </c>
      <c r="G465" s="16">
        <v>42809.0</v>
      </c>
      <c r="H465" s="20">
        <f t="shared" si="1"/>
        <v>2.108333333</v>
      </c>
      <c r="I465" s="20" t="s">
        <v>1360</v>
      </c>
    </row>
    <row r="466" ht="12.75" customHeight="1">
      <c r="A466" s="14" t="s">
        <v>1361</v>
      </c>
      <c r="B466" s="14" t="s">
        <v>61</v>
      </c>
      <c r="C466" s="19" t="s">
        <v>45</v>
      </c>
      <c r="D466" s="15" t="s">
        <v>1067</v>
      </c>
      <c r="E466" s="15" t="s">
        <v>14</v>
      </c>
      <c r="F466" s="16">
        <v>42163.0</v>
      </c>
      <c r="G466" s="16">
        <v>43335.0</v>
      </c>
      <c r="H466" s="17">
        <f t="shared" si="1"/>
        <v>3.208333333</v>
      </c>
      <c r="I466" s="14" t="s">
        <v>1362</v>
      </c>
      <c r="J466" s="33"/>
    </row>
    <row r="467" ht="15.75" customHeight="1">
      <c r="A467" s="14" t="s">
        <v>1363</v>
      </c>
      <c r="B467" s="14" t="s">
        <v>116</v>
      </c>
      <c r="C467" s="19" t="s">
        <v>45</v>
      </c>
      <c r="D467" s="20" t="s">
        <v>1025</v>
      </c>
      <c r="E467" s="20" t="s">
        <v>124</v>
      </c>
      <c r="F467" s="16">
        <v>42164.0</v>
      </c>
      <c r="G467" s="16">
        <v>42991.0</v>
      </c>
      <c r="H467" s="20">
        <f t="shared" si="1"/>
        <v>2.261111111</v>
      </c>
      <c r="I467" s="20" t="s">
        <v>1364</v>
      </c>
    </row>
    <row r="468" ht="15.75" customHeight="1">
      <c r="A468" s="14" t="s">
        <v>1365</v>
      </c>
      <c r="B468" s="14" t="s">
        <v>22</v>
      </c>
      <c r="C468" s="19" t="s">
        <v>45</v>
      </c>
      <c r="D468" s="20" t="s">
        <v>105</v>
      </c>
      <c r="E468" s="20" t="s">
        <v>38</v>
      </c>
      <c r="F468" s="16">
        <v>42164.0</v>
      </c>
      <c r="G468" s="16">
        <v>42559.0</v>
      </c>
      <c r="H468" s="20">
        <f t="shared" si="1"/>
        <v>1.080555556</v>
      </c>
      <c r="I468" s="20" t="s">
        <v>1366</v>
      </c>
    </row>
    <row r="469" ht="12.75" customHeight="1">
      <c r="A469" s="14" t="s">
        <v>1367</v>
      </c>
      <c r="B469" s="14" t="s">
        <v>116</v>
      </c>
      <c r="C469" s="19" t="s">
        <v>45</v>
      </c>
      <c r="D469" s="15" t="s">
        <v>346</v>
      </c>
      <c r="E469" s="15" t="s">
        <v>58</v>
      </c>
      <c r="F469" s="16">
        <v>42230.0</v>
      </c>
      <c r="G469" s="16">
        <v>42986.0</v>
      </c>
      <c r="H469" s="17">
        <f t="shared" si="1"/>
        <v>2.066666667</v>
      </c>
      <c r="I469" s="14" t="s">
        <v>1368</v>
      </c>
      <c r="J469" s="33"/>
    </row>
    <row r="470" ht="15.75" hidden="1" customHeight="1">
      <c r="A470" s="14" t="s">
        <v>1369</v>
      </c>
      <c r="B470" s="14"/>
      <c r="C470" s="12" t="s">
        <v>66</v>
      </c>
      <c r="D470" s="20" t="s">
        <v>163</v>
      </c>
      <c r="E470" s="20" t="s">
        <v>164</v>
      </c>
      <c r="F470" s="16">
        <v>42292.0</v>
      </c>
      <c r="G470" s="16">
        <v>42622.0</v>
      </c>
      <c r="H470" s="20">
        <f t="shared" si="1"/>
        <v>0.9</v>
      </c>
      <c r="I470" s="20" t="s">
        <v>1370</v>
      </c>
    </row>
    <row r="471" ht="12.75" customHeight="1">
      <c r="A471" s="14" t="s">
        <v>1371</v>
      </c>
      <c r="B471" s="14" t="s">
        <v>584</v>
      </c>
      <c r="C471" s="19" t="s">
        <v>45</v>
      </c>
      <c r="D471" s="20" t="s">
        <v>633</v>
      </c>
      <c r="E471" s="15" t="s">
        <v>19</v>
      </c>
      <c r="F471" s="16">
        <v>42290.0</v>
      </c>
      <c r="G471" s="16">
        <v>43005.0</v>
      </c>
      <c r="H471" s="17">
        <f t="shared" si="1"/>
        <v>1.955555556</v>
      </c>
      <c r="I471" s="14" t="s">
        <v>1372</v>
      </c>
      <c r="J471" s="33"/>
    </row>
    <row r="472" ht="15.75" customHeight="1">
      <c r="A472" s="14" t="s">
        <v>1373</v>
      </c>
      <c r="B472" s="14" t="s">
        <v>116</v>
      </c>
      <c r="C472" s="19" t="s">
        <v>45</v>
      </c>
      <c r="D472" s="20" t="s">
        <v>1374</v>
      </c>
      <c r="E472" s="20" t="s">
        <v>381</v>
      </c>
      <c r="F472" s="16">
        <v>42286.0</v>
      </c>
      <c r="G472" s="16">
        <v>43530.0</v>
      </c>
      <c r="H472" s="20">
        <f t="shared" si="1"/>
        <v>3.408333333</v>
      </c>
      <c r="I472" s="20" t="s">
        <v>1375</v>
      </c>
    </row>
    <row r="473" ht="12.75" customHeight="1">
      <c r="A473" s="14" t="s">
        <v>1376</v>
      </c>
      <c r="B473" s="14" t="s">
        <v>56</v>
      </c>
      <c r="C473" s="19" t="s">
        <v>45</v>
      </c>
      <c r="D473" s="15" t="s">
        <v>577</v>
      </c>
      <c r="E473" s="15" t="s">
        <v>58</v>
      </c>
      <c r="F473" s="16">
        <v>42346.0</v>
      </c>
      <c r="G473" s="16">
        <v>42935.0</v>
      </c>
      <c r="H473" s="17">
        <f t="shared" si="1"/>
        <v>1.613888889</v>
      </c>
      <c r="I473" s="14" t="s">
        <v>1377</v>
      </c>
      <c r="J473" s="33"/>
    </row>
    <row r="474" ht="12.75" customHeight="1">
      <c r="A474" s="14" t="s">
        <v>1378</v>
      </c>
      <c r="B474" s="14" t="s">
        <v>27</v>
      </c>
      <c r="C474" s="19" t="s">
        <v>45</v>
      </c>
      <c r="D474" s="20" t="s">
        <v>732</v>
      </c>
      <c r="E474" s="15" t="s">
        <v>678</v>
      </c>
      <c r="F474" s="16">
        <v>42467.0</v>
      </c>
      <c r="G474" s="16">
        <v>43434.0</v>
      </c>
      <c r="H474" s="17">
        <f t="shared" si="1"/>
        <v>2.647222222</v>
      </c>
      <c r="I474" s="14" t="s">
        <v>1379</v>
      </c>
      <c r="J474" s="33"/>
    </row>
    <row r="475" ht="12.75" customHeight="1">
      <c r="A475" s="14" t="s">
        <v>1380</v>
      </c>
      <c r="B475" s="14" t="s">
        <v>116</v>
      </c>
      <c r="C475" s="19" t="s">
        <v>45</v>
      </c>
      <c r="D475" s="15" t="s">
        <v>1381</v>
      </c>
      <c r="E475" s="15" t="s">
        <v>707</v>
      </c>
      <c r="F475" s="16">
        <v>42467.0</v>
      </c>
      <c r="G475" s="16">
        <v>43546.0</v>
      </c>
      <c r="H475" s="17">
        <f t="shared" si="1"/>
        <v>2.958333333</v>
      </c>
      <c r="I475" s="14" t="s">
        <v>1382</v>
      </c>
      <c r="J475" s="33"/>
    </row>
    <row r="476" ht="12.75" customHeight="1">
      <c r="A476" s="14" t="s">
        <v>1383</v>
      </c>
      <c r="B476" s="14" t="s">
        <v>584</v>
      </c>
      <c r="C476" s="19" t="s">
        <v>45</v>
      </c>
      <c r="D476" s="15" t="s">
        <v>1384</v>
      </c>
      <c r="E476" s="15" t="s">
        <v>53</v>
      </c>
      <c r="F476" s="16">
        <v>42523.0</v>
      </c>
      <c r="G476" s="16">
        <v>43432.0</v>
      </c>
      <c r="H476" s="17">
        <f t="shared" si="1"/>
        <v>2.488888889</v>
      </c>
      <c r="I476" s="14" t="s">
        <v>1385</v>
      </c>
      <c r="J476" s="33"/>
    </row>
    <row r="477" ht="12.75" customHeight="1">
      <c r="A477" s="14" t="s">
        <v>1386</v>
      </c>
      <c r="B477" s="14" t="s">
        <v>116</v>
      </c>
      <c r="C477" s="19" t="s">
        <v>45</v>
      </c>
      <c r="D477" s="15" t="s">
        <v>1387</v>
      </c>
      <c r="E477" s="15" t="s">
        <v>58</v>
      </c>
      <c r="F477" s="16">
        <v>42587.0</v>
      </c>
      <c r="G477" s="16">
        <v>43102.0</v>
      </c>
      <c r="H477" s="17">
        <f t="shared" si="1"/>
        <v>1.408333333</v>
      </c>
      <c r="I477" s="14" t="s">
        <v>1388</v>
      </c>
      <c r="J477" s="18"/>
    </row>
    <row r="478" ht="12.75" customHeight="1">
      <c r="A478" s="14" t="s">
        <v>1389</v>
      </c>
      <c r="B478" s="14" t="s">
        <v>11</v>
      </c>
      <c r="C478" s="19" t="s">
        <v>45</v>
      </c>
      <c r="D478" s="15" t="s">
        <v>156</v>
      </c>
      <c r="E478" s="15" t="s">
        <v>42</v>
      </c>
      <c r="F478" s="16">
        <v>42587.0</v>
      </c>
      <c r="G478" s="16">
        <v>43284.0</v>
      </c>
      <c r="H478" s="17">
        <f t="shared" si="1"/>
        <v>1.911111111</v>
      </c>
      <c r="I478" s="14" t="s">
        <v>1390</v>
      </c>
      <c r="J478" s="18"/>
    </row>
    <row r="479" ht="12.75" customHeight="1">
      <c r="A479" s="14" t="s">
        <v>1391</v>
      </c>
      <c r="B479" s="14" t="s">
        <v>61</v>
      </c>
      <c r="C479" s="19" t="s">
        <v>45</v>
      </c>
      <c r="D479" s="15" t="s">
        <v>1392</v>
      </c>
      <c r="E479" s="15" t="s">
        <v>529</v>
      </c>
      <c r="F479" s="16">
        <v>42649.0</v>
      </c>
      <c r="G479" s="16">
        <v>43598.0</v>
      </c>
      <c r="H479" s="17">
        <f t="shared" si="1"/>
        <v>2.602777778</v>
      </c>
      <c r="I479" s="14" t="s">
        <v>1393</v>
      </c>
      <c r="J479" s="18"/>
    </row>
    <row r="480" ht="15.75" customHeight="1">
      <c r="A480" s="35" t="s">
        <v>1394</v>
      </c>
      <c r="B480" s="19" t="s">
        <v>11</v>
      </c>
      <c r="C480" s="19" t="s">
        <v>45</v>
      </c>
      <c r="D480" s="35" t="s">
        <v>1395</v>
      </c>
      <c r="E480" s="35" t="s">
        <v>42</v>
      </c>
      <c r="F480" s="36">
        <v>43677.0</v>
      </c>
      <c r="G480" s="37"/>
      <c r="H480" s="38"/>
      <c r="I480" s="35" t="s">
        <v>1396</v>
      </c>
    </row>
    <row r="481" ht="15.75" customHeight="1">
      <c r="A481" s="35" t="s">
        <v>1397</v>
      </c>
      <c r="B481" s="19" t="s">
        <v>116</v>
      </c>
      <c r="C481" s="19" t="s">
        <v>45</v>
      </c>
      <c r="D481" s="35" t="s">
        <v>1398</v>
      </c>
      <c r="E481" s="35" t="s">
        <v>160</v>
      </c>
      <c r="F481" s="36">
        <v>43678.0</v>
      </c>
      <c r="G481" s="37"/>
      <c r="H481" s="39"/>
      <c r="I481" s="35" t="s">
        <v>1399</v>
      </c>
    </row>
    <row r="482" ht="15.75" customHeight="1">
      <c r="A482" s="35" t="s">
        <v>1400</v>
      </c>
      <c r="B482" s="19" t="s">
        <v>11</v>
      </c>
      <c r="C482" s="19" t="s">
        <v>45</v>
      </c>
      <c r="D482" s="35" t="s">
        <v>1401</v>
      </c>
      <c r="E482" s="35" t="s">
        <v>42</v>
      </c>
      <c r="F482" s="36">
        <v>43685.0</v>
      </c>
      <c r="G482" s="37"/>
      <c r="H482" s="39"/>
      <c r="I482" s="35" t="s">
        <v>1402</v>
      </c>
    </row>
    <row r="483" ht="15.75" customHeight="1">
      <c r="A483" s="35" t="s">
        <v>1403</v>
      </c>
      <c r="B483" s="19" t="s">
        <v>27</v>
      </c>
      <c r="C483" s="19" t="s">
        <v>45</v>
      </c>
      <c r="D483" s="35" t="s">
        <v>1404</v>
      </c>
      <c r="E483" s="35" t="s">
        <v>885</v>
      </c>
      <c r="F483" s="36">
        <v>43678.0</v>
      </c>
      <c r="G483" s="37"/>
      <c r="H483" s="39"/>
      <c r="I483" s="35" t="s">
        <v>1405</v>
      </c>
    </row>
    <row r="484" ht="15.75" customHeight="1">
      <c r="A484" s="35" t="s">
        <v>1406</v>
      </c>
      <c r="B484" s="19" t="s">
        <v>1407</v>
      </c>
      <c r="C484" s="19" t="s">
        <v>45</v>
      </c>
      <c r="D484" s="35" t="s">
        <v>1408</v>
      </c>
      <c r="E484" s="35" t="s">
        <v>34</v>
      </c>
      <c r="F484" s="36">
        <v>43677.0</v>
      </c>
      <c r="G484" s="37"/>
      <c r="H484" s="39"/>
      <c r="I484" s="35" t="s">
        <v>1409</v>
      </c>
    </row>
    <row r="485" ht="15.75" customHeight="1">
      <c r="A485" s="35" t="s">
        <v>1410</v>
      </c>
      <c r="B485" s="19" t="s">
        <v>27</v>
      </c>
      <c r="C485" s="19" t="s">
        <v>45</v>
      </c>
      <c r="D485" s="35" t="s">
        <v>1411</v>
      </c>
      <c r="E485" s="35" t="s">
        <v>58</v>
      </c>
      <c r="F485" s="40">
        <v>43684.0</v>
      </c>
      <c r="G485" s="37"/>
      <c r="H485" s="39"/>
      <c r="I485" s="35" t="s">
        <v>1412</v>
      </c>
    </row>
    <row r="486" ht="15.75" customHeight="1">
      <c r="A486" s="35" t="s">
        <v>1413</v>
      </c>
      <c r="B486" s="19" t="s">
        <v>116</v>
      </c>
      <c r="C486" s="19" t="s">
        <v>45</v>
      </c>
      <c r="D486" s="35" t="s">
        <v>1414</v>
      </c>
      <c r="E486" s="35" t="s">
        <v>124</v>
      </c>
      <c r="F486" s="36">
        <v>43740.0</v>
      </c>
      <c r="G486" s="37"/>
      <c r="H486" s="39"/>
      <c r="I486" s="35" t="s">
        <v>1415</v>
      </c>
    </row>
    <row r="487" ht="15.75" customHeight="1">
      <c r="A487" s="35" t="s">
        <v>1416</v>
      </c>
      <c r="B487" s="19" t="s">
        <v>11</v>
      </c>
      <c r="C487" s="19" t="s">
        <v>45</v>
      </c>
      <c r="D487" s="35" t="s">
        <v>1417</v>
      </c>
      <c r="E487" s="35" t="s">
        <v>42</v>
      </c>
      <c r="F487" s="36">
        <v>43740.0</v>
      </c>
      <c r="G487" s="37"/>
      <c r="H487" s="39"/>
      <c r="I487" s="35" t="s">
        <v>1418</v>
      </c>
    </row>
    <row r="488" ht="15.75" customHeight="1">
      <c r="A488" s="35" t="s">
        <v>1419</v>
      </c>
      <c r="B488" s="19" t="s">
        <v>27</v>
      </c>
      <c r="C488" s="19" t="s">
        <v>45</v>
      </c>
      <c r="D488" s="35" t="s">
        <v>1420</v>
      </c>
      <c r="E488" s="35" t="s">
        <v>14</v>
      </c>
      <c r="F488" s="36">
        <v>43740.0</v>
      </c>
      <c r="G488" s="37"/>
      <c r="H488" s="39"/>
      <c r="I488" s="35" t="s">
        <v>1421</v>
      </c>
      <c r="J488" s="5" t="s">
        <v>1422</v>
      </c>
    </row>
    <row r="489" ht="15.75" customHeight="1">
      <c r="A489" s="35" t="s">
        <v>1423</v>
      </c>
      <c r="B489" s="19" t="s">
        <v>11</v>
      </c>
      <c r="C489" s="19" t="s">
        <v>45</v>
      </c>
      <c r="D489" s="35" t="s">
        <v>1424</v>
      </c>
      <c r="E489" s="35" t="s">
        <v>477</v>
      </c>
      <c r="F489" s="36">
        <v>43740.0</v>
      </c>
      <c r="G489" s="37"/>
      <c r="H489" s="39"/>
      <c r="I489" s="35" t="s">
        <v>1425</v>
      </c>
    </row>
    <row r="490" ht="15.75" customHeight="1">
      <c r="A490" s="35" t="s">
        <v>1426</v>
      </c>
      <c r="B490" s="19" t="s">
        <v>61</v>
      </c>
      <c r="C490" s="19" t="s">
        <v>45</v>
      </c>
      <c r="D490" s="35" t="s">
        <v>1427</v>
      </c>
      <c r="E490" s="35" t="s">
        <v>132</v>
      </c>
      <c r="F490" s="36">
        <v>43740.0</v>
      </c>
      <c r="G490" s="37"/>
      <c r="H490" s="39"/>
      <c r="I490" s="35" t="s">
        <v>1428</v>
      </c>
    </row>
    <row r="491" ht="15.75" customHeight="1">
      <c r="A491" s="35" t="s">
        <v>1429</v>
      </c>
      <c r="B491" s="19" t="s">
        <v>56</v>
      </c>
      <c r="C491" s="19" t="s">
        <v>45</v>
      </c>
      <c r="D491" s="35" t="s">
        <v>1430</v>
      </c>
      <c r="E491" s="35" t="s">
        <v>14</v>
      </c>
      <c r="F491" s="36">
        <v>43746.0</v>
      </c>
      <c r="G491" s="37"/>
      <c r="H491" s="39"/>
      <c r="I491" s="35" t="s">
        <v>1431</v>
      </c>
    </row>
    <row r="492" ht="15.75" customHeight="1">
      <c r="A492" s="35" t="s">
        <v>1432</v>
      </c>
      <c r="B492" s="19" t="s">
        <v>27</v>
      </c>
      <c r="C492" s="19" t="s">
        <v>45</v>
      </c>
      <c r="D492" s="35" t="s">
        <v>1433</v>
      </c>
      <c r="E492" s="35" t="s">
        <v>34</v>
      </c>
      <c r="F492" s="36">
        <v>43817.0</v>
      </c>
      <c r="G492" s="37"/>
      <c r="H492" s="39"/>
      <c r="I492" s="35" t="s">
        <v>1434</v>
      </c>
    </row>
    <row r="493" ht="15.75" customHeight="1">
      <c r="A493" s="35" t="s">
        <v>1435</v>
      </c>
      <c r="B493" s="19" t="s">
        <v>27</v>
      </c>
      <c r="C493" s="19" t="s">
        <v>45</v>
      </c>
      <c r="D493" s="35" t="s">
        <v>1436</v>
      </c>
      <c r="E493" s="35" t="s">
        <v>477</v>
      </c>
      <c r="F493" s="36">
        <v>43867.0</v>
      </c>
      <c r="G493" s="37"/>
      <c r="H493" s="39"/>
      <c r="I493" s="35" t="s">
        <v>1437</v>
      </c>
      <c r="J493" s="5" t="s">
        <v>1438</v>
      </c>
    </row>
    <row r="494" ht="15.75" customHeight="1">
      <c r="A494" s="35" t="s">
        <v>1439</v>
      </c>
      <c r="B494" s="19" t="s">
        <v>56</v>
      </c>
      <c r="C494" s="19" t="s">
        <v>45</v>
      </c>
      <c r="D494" s="35" t="s">
        <v>1440</v>
      </c>
      <c r="E494" s="35" t="s">
        <v>53</v>
      </c>
      <c r="F494" s="36">
        <v>43867.0</v>
      </c>
      <c r="G494" s="37"/>
      <c r="H494" s="39"/>
      <c r="I494" s="35" t="s">
        <v>1441</v>
      </c>
    </row>
    <row r="495" ht="15.75" customHeight="1">
      <c r="A495" s="35" t="s">
        <v>1442</v>
      </c>
      <c r="B495" s="19" t="s">
        <v>11</v>
      </c>
      <c r="C495" s="19" t="s">
        <v>45</v>
      </c>
      <c r="D495" s="35" t="s">
        <v>1395</v>
      </c>
      <c r="E495" s="35" t="s">
        <v>42</v>
      </c>
      <c r="F495" s="36">
        <v>43917.0</v>
      </c>
      <c r="G495" s="37"/>
      <c r="H495" s="39"/>
      <c r="I495" s="35" t="s">
        <v>1443</v>
      </c>
    </row>
    <row r="496" ht="15.75" customHeight="1">
      <c r="A496" s="35" t="s">
        <v>1444</v>
      </c>
      <c r="B496" s="19" t="s">
        <v>56</v>
      </c>
      <c r="C496" s="19" t="s">
        <v>45</v>
      </c>
      <c r="D496" s="35" t="s">
        <v>1445</v>
      </c>
      <c r="E496" s="35" t="s">
        <v>124</v>
      </c>
      <c r="F496" s="36">
        <v>43917.0</v>
      </c>
      <c r="G496" s="37"/>
      <c r="H496" s="39"/>
      <c r="I496" s="35" t="s">
        <v>1446</v>
      </c>
    </row>
    <row r="497" ht="15.75" customHeight="1">
      <c r="A497" s="35" t="s">
        <v>1447</v>
      </c>
      <c r="B497" s="19" t="s">
        <v>61</v>
      </c>
      <c r="C497" s="19" t="s">
        <v>45</v>
      </c>
      <c r="D497" s="35" t="s">
        <v>1448</v>
      </c>
      <c r="E497" s="35" t="s">
        <v>324</v>
      </c>
      <c r="F497" s="36">
        <v>43920.0</v>
      </c>
      <c r="G497" s="37"/>
      <c r="H497" s="39"/>
      <c r="I497" s="35" t="s">
        <v>1449</v>
      </c>
    </row>
    <row r="498" ht="15.75" customHeight="1">
      <c r="A498" s="35" t="s">
        <v>1450</v>
      </c>
      <c r="B498" s="19" t="s">
        <v>27</v>
      </c>
      <c r="C498" s="19" t="s">
        <v>45</v>
      </c>
      <c r="D498" s="35" t="s">
        <v>1451</v>
      </c>
      <c r="E498" s="35" t="s">
        <v>288</v>
      </c>
      <c r="F498" s="36">
        <v>43984.0</v>
      </c>
      <c r="G498" s="37"/>
      <c r="H498" s="39"/>
      <c r="I498" s="35" t="s">
        <v>1452</v>
      </c>
    </row>
    <row r="499" ht="15.75" customHeight="1">
      <c r="A499" s="35" t="s">
        <v>1453</v>
      </c>
      <c r="B499" s="19" t="s">
        <v>27</v>
      </c>
      <c r="C499" s="19" t="s">
        <v>45</v>
      </c>
      <c r="D499" s="35" t="s">
        <v>1454</v>
      </c>
      <c r="E499" s="35" t="s">
        <v>128</v>
      </c>
      <c r="F499" s="36">
        <v>43984.0</v>
      </c>
      <c r="G499" s="37"/>
      <c r="H499" s="39"/>
      <c r="I499" s="35" t="s">
        <v>1455</v>
      </c>
    </row>
    <row r="500" ht="15.75" customHeight="1">
      <c r="A500" s="35" t="s">
        <v>1456</v>
      </c>
      <c r="B500" s="19" t="s">
        <v>22</v>
      </c>
      <c r="C500" s="19" t="s">
        <v>45</v>
      </c>
      <c r="D500" s="35" t="s">
        <v>1457</v>
      </c>
      <c r="E500" s="35" t="s">
        <v>38</v>
      </c>
      <c r="F500" s="36">
        <v>43984.0</v>
      </c>
      <c r="G500" s="37"/>
      <c r="H500" s="39"/>
      <c r="I500" s="35" t="s">
        <v>1458</v>
      </c>
    </row>
    <row r="501" ht="15.75" customHeight="1">
      <c r="A501" s="35" t="s">
        <v>1459</v>
      </c>
      <c r="B501" s="19" t="s">
        <v>61</v>
      </c>
      <c r="C501" s="19" t="s">
        <v>45</v>
      </c>
      <c r="D501" s="35" t="s">
        <v>1460</v>
      </c>
      <c r="E501" s="35" t="s">
        <v>288</v>
      </c>
      <c r="F501" s="36">
        <v>44050.0</v>
      </c>
      <c r="G501" s="37"/>
      <c r="H501" s="39"/>
      <c r="I501" s="35" t="s">
        <v>1461</v>
      </c>
    </row>
    <row r="502" ht="15.75" customHeight="1">
      <c r="A502" s="35" t="s">
        <v>1462</v>
      </c>
      <c r="B502" s="19" t="s">
        <v>56</v>
      </c>
      <c r="C502" s="19" t="s">
        <v>45</v>
      </c>
      <c r="D502" s="35" t="s">
        <v>1463</v>
      </c>
      <c r="E502" s="35" t="s">
        <v>38</v>
      </c>
      <c r="F502" s="36">
        <v>44054.0</v>
      </c>
      <c r="G502" s="37"/>
      <c r="H502" s="39"/>
      <c r="I502" s="35" t="s">
        <v>1464</v>
      </c>
    </row>
    <row r="503" ht="15.75" customHeight="1">
      <c r="A503" s="35" t="s">
        <v>1465</v>
      </c>
      <c r="B503" s="19" t="s">
        <v>111</v>
      </c>
      <c r="C503" s="19" t="s">
        <v>45</v>
      </c>
      <c r="D503" s="35" t="s">
        <v>1466</v>
      </c>
      <c r="E503" s="35" t="s">
        <v>572</v>
      </c>
      <c r="F503" s="36">
        <v>44048.0</v>
      </c>
      <c r="G503" s="37"/>
      <c r="H503" s="39"/>
      <c r="I503" s="35" t="s">
        <v>1467</v>
      </c>
    </row>
    <row r="504" ht="15.75" customHeight="1">
      <c r="A504" s="35" t="s">
        <v>1468</v>
      </c>
      <c r="B504" s="19" t="s">
        <v>61</v>
      </c>
      <c r="C504" s="19" t="s">
        <v>45</v>
      </c>
      <c r="D504" s="35" t="s">
        <v>1469</v>
      </c>
      <c r="E504" s="35" t="s">
        <v>124</v>
      </c>
      <c r="F504" s="36">
        <v>44047.0</v>
      </c>
      <c r="G504" s="37"/>
      <c r="H504" s="39"/>
      <c r="I504" s="35" t="s">
        <v>1470</v>
      </c>
    </row>
    <row r="505" ht="15.75" customHeight="1">
      <c r="A505" s="35" t="s">
        <v>1471</v>
      </c>
      <c r="B505" s="19" t="s">
        <v>27</v>
      </c>
      <c r="C505" s="19" t="s">
        <v>45</v>
      </c>
      <c r="D505" s="35" t="s">
        <v>1472</v>
      </c>
      <c r="E505" s="35" t="s">
        <v>1473</v>
      </c>
      <c r="F505" s="36">
        <v>44050.0</v>
      </c>
      <c r="G505" s="37"/>
      <c r="H505" s="39"/>
      <c r="I505" s="35" t="s">
        <v>1474</v>
      </c>
    </row>
    <row r="506" ht="15.75" customHeight="1">
      <c r="A506" s="35" t="s">
        <v>1475</v>
      </c>
      <c r="B506" s="19" t="s">
        <v>61</v>
      </c>
      <c r="C506" s="19" t="s">
        <v>45</v>
      </c>
      <c r="D506" s="35" t="s">
        <v>1476</v>
      </c>
      <c r="E506" s="35" t="s">
        <v>14</v>
      </c>
      <c r="F506" s="36">
        <v>44049.0</v>
      </c>
      <c r="G506" s="37"/>
      <c r="H506" s="39"/>
      <c r="I506" s="35" t="s">
        <v>1477</v>
      </c>
    </row>
    <row r="507" ht="15.75" customHeight="1">
      <c r="A507" s="35" t="s">
        <v>1478</v>
      </c>
      <c r="B507" s="19" t="s">
        <v>61</v>
      </c>
      <c r="C507" s="19" t="s">
        <v>45</v>
      </c>
      <c r="D507" s="35" t="s">
        <v>1479</v>
      </c>
      <c r="E507" s="35" t="s">
        <v>288</v>
      </c>
      <c r="F507" s="36">
        <v>44106.0</v>
      </c>
      <c r="G507" s="37"/>
      <c r="H507" s="39"/>
      <c r="I507" s="35" t="s">
        <v>1480</v>
      </c>
    </row>
    <row r="508" ht="15.75" customHeight="1">
      <c r="A508" s="35" t="s">
        <v>1481</v>
      </c>
      <c r="B508" s="19" t="s">
        <v>11</v>
      </c>
      <c r="C508" s="19" t="s">
        <v>45</v>
      </c>
      <c r="D508" s="35" t="s">
        <v>1482</v>
      </c>
      <c r="E508" s="35" t="s">
        <v>1354</v>
      </c>
      <c r="F508" s="36">
        <v>44105.0</v>
      </c>
      <c r="G508" s="37"/>
      <c r="H508" s="39"/>
      <c r="I508" s="35" t="s">
        <v>1483</v>
      </c>
    </row>
    <row r="509" ht="15.75" customHeight="1">
      <c r="A509" s="35" t="s">
        <v>1484</v>
      </c>
      <c r="B509" s="19" t="s">
        <v>61</v>
      </c>
      <c r="C509" s="19" t="s">
        <v>45</v>
      </c>
      <c r="D509" s="35" t="s">
        <v>1485</v>
      </c>
      <c r="E509" s="35" t="s">
        <v>124</v>
      </c>
      <c r="F509" s="36">
        <v>44106.0</v>
      </c>
      <c r="G509" s="37"/>
      <c r="H509" s="39"/>
      <c r="I509" s="35" t="s">
        <v>1486</v>
      </c>
    </row>
    <row r="510" ht="15.75" customHeight="1">
      <c r="A510" s="35" t="s">
        <v>1487</v>
      </c>
      <c r="B510" s="19" t="s">
        <v>56</v>
      </c>
      <c r="C510" s="19" t="s">
        <v>45</v>
      </c>
      <c r="D510" s="35" t="s">
        <v>1488</v>
      </c>
      <c r="E510" s="35" t="s">
        <v>14</v>
      </c>
      <c r="F510" s="36">
        <v>44181.0</v>
      </c>
      <c r="G510" s="37"/>
      <c r="H510" s="39"/>
      <c r="I510" s="35" t="s">
        <v>1489</v>
      </c>
    </row>
    <row r="511" ht="15.75" customHeight="1">
      <c r="A511" s="35" t="s">
        <v>1490</v>
      </c>
      <c r="B511" s="19" t="s">
        <v>1407</v>
      </c>
      <c r="C511" s="19" t="s">
        <v>45</v>
      </c>
      <c r="D511" s="35" t="s">
        <v>1491</v>
      </c>
      <c r="E511" s="35" t="s">
        <v>124</v>
      </c>
      <c r="F511" s="36">
        <v>44180.0</v>
      </c>
      <c r="G511" s="37"/>
      <c r="H511" s="39"/>
      <c r="I511" s="35" t="s">
        <v>1492</v>
      </c>
    </row>
    <row r="512" ht="15.75" customHeight="1">
      <c r="A512" s="35" t="s">
        <v>1493</v>
      </c>
      <c r="B512" s="19" t="s">
        <v>439</v>
      </c>
      <c r="C512" s="19" t="s">
        <v>45</v>
      </c>
      <c r="D512" s="35" t="s">
        <v>1494</v>
      </c>
      <c r="E512" s="35" t="s">
        <v>38</v>
      </c>
      <c r="F512" s="36">
        <v>44180.0</v>
      </c>
      <c r="G512" s="37"/>
      <c r="H512" s="39"/>
      <c r="I512" s="35" t="s">
        <v>1495</v>
      </c>
    </row>
    <row r="513" ht="15.75" customHeight="1">
      <c r="A513" s="35" t="s">
        <v>1496</v>
      </c>
      <c r="B513" s="19" t="s">
        <v>61</v>
      </c>
      <c r="C513" s="19" t="s">
        <v>45</v>
      </c>
      <c r="D513" s="35" t="s">
        <v>1497</v>
      </c>
      <c r="E513" s="35" t="s">
        <v>71</v>
      </c>
      <c r="F513" s="36">
        <v>44180.0</v>
      </c>
      <c r="G513" s="37"/>
      <c r="H513" s="39"/>
      <c r="I513" s="35" t="s">
        <v>1498</v>
      </c>
    </row>
    <row r="514" ht="15.75" customHeight="1">
      <c r="A514" s="35" t="s">
        <v>1499</v>
      </c>
      <c r="B514" s="19" t="s">
        <v>1407</v>
      </c>
      <c r="C514" s="19" t="s">
        <v>45</v>
      </c>
      <c r="D514" s="35" t="s">
        <v>1500</v>
      </c>
      <c r="E514" s="35" t="s">
        <v>284</v>
      </c>
      <c r="F514" s="36">
        <v>44180.0</v>
      </c>
      <c r="G514" s="37"/>
      <c r="H514" s="39"/>
      <c r="I514" s="35" t="s">
        <v>1501</v>
      </c>
    </row>
    <row r="515" ht="15.75" customHeight="1">
      <c r="A515" s="35" t="s">
        <v>1502</v>
      </c>
      <c r="B515" s="19" t="s">
        <v>27</v>
      </c>
      <c r="C515" s="19" t="s">
        <v>45</v>
      </c>
      <c r="D515" s="35" t="s">
        <v>1433</v>
      </c>
      <c r="E515" s="35" t="s">
        <v>34</v>
      </c>
      <c r="F515" s="36">
        <v>44180.0</v>
      </c>
      <c r="G515" s="37"/>
      <c r="H515" s="39"/>
      <c r="I515" s="35" t="s">
        <v>1503</v>
      </c>
    </row>
    <row r="516" ht="15.75" customHeight="1">
      <c r="A516" s="35" t="s">
        <v>1504</v>
      </c>
      <c r="B516" s="19" t="s">
        <v>27</v>
      </c>
      <c r="C516" s="19" t="s">
        <v>45</v>
      </c>
      <c r="D516" s="35" t="s">
        <v>1505</v>
      </c>
      <c r="E516" s="35" t="s">
        <v>324</v>
      </c>
      <c r="F516" s="36">
        <v>44181.0</v>
      </c>
      <c r="G516" s="37"/>
      <c r="H516" s="39"/>
      <c r="I516" s="35" t="s">
        <v>1506</v>
      </c>
    </row>
    <row r="517" ht="15.75" customHeight="1">
      <c r="A517" s="35" t="s">
        <v>1507</v>
      </c>
      <c r="B517" s="19" t="s">
        <v>61</v>
      </c>
      <c r="C517" s="19" t="s">
        <v>45</v>
      </c>
      <c r="D517" s="35" t="s">
        <v>1508</v>
      </c>
      <c r="E517" s="35" t="s">
        <v>14</v>
      </c>
      <c r="F517" s="36">
        <v>44106.0</v>
      </c>
      <c r="G517" s="37"/>
      <c r="H517" s="39"/>
      <c r="I517" s="35" t="s">
        <v>1509</v>
      </c>
    </row>
    <row r="518" ht="15.75" customHeight="1">
      <c r="A518" s="35" t="s">
        <v>1510</v>
      </c>
      <c r="B518" s="19" t="s">
        <v>56</v>
      </c>
      <c r="C518" s="19" t="s">
        <v>45</v>
      </c>
      <c r="D518" s="35" t="s">
        <v>1511</v>
      </c>
      <c r="E518" s="35" t="s">
        <v>1512</v>
      </c>
      <c r="F518" s="36">
        <v>44180.0</v>
      </c>
      <c r="G518" s="37"/>
      <c r="H518" s="39"/>
      <c r="I518" s="35" t="s">
        <v>1513</v>
      </c>
    </row>
    <row r="519" ht="15.75" customHeight="1">
      <c r="A519" s="35" t="s">
        <v>1514</v>
      </c>
      <c r="B519" s="19" t="s">
        <v>56</v>
      </c>
      <c r="C519" s="19" t="s">
        <v>45</v>
      </c>
      <c r="D519" s="35" t="s">
        <v>1515</v>
      </c>
      <c r="E519" s="35" t="s">
        <v>14</v>
      </c>
      <c r="F519" s="36">
        <v>44232.0</v>
      </c>
      <c r="G519" s="37"/>
      <c r="H519" s="39"/>
      <c r="I519" s="35" t="s">
        <v>1516</v>
      </c>
    </row>
    <row r="520" ht="15.75" customHeight="1">
      <c r="A520" s="35" t="s">
        <v>1517</v>
      </c>
      <c r="B520" s="19" t="s">
        <v>116</v>
      </c>
      <c r="C520" s="19" t="s">
        <v>45</v>
      </c>
      <c r="D520" s="35" t="s">
        <v>1460</v>
      </c>
      <c r="E520" s="35" t="s">
        <v>288</v>
      </c>
      <c r="F520" s="36">
        <v>44287.0</v>
      </c>
      <c r="G520" s="37"/>
      <c r="H520" s="39"/>
      <c r="I520" s="35" t="s">
        <v>1518</v>
      </c>
    </row>
    <row r="521" ht="15.75" customHeight="1">
      <c r="A521" s="41" t="s">
        <v>1519</v>
      </c>
      <c r="B521" s="19" t="s">
        <v>61</v>
      </c>
      <c r="C521" s="19" t="s">
        <v>45</v>
      </c>
      <c r="D521" s="42" t="s">
        <v>1520</v>
      </c>
      <c r="E521" s="42" t="s">
        <v>14</v>
      </c>
      <c r="F521" s="43">
        <v>44285.0</v>
      </c>
      <c r="G521" s="37"/>
      <c r="H521" s="39"/>
      <c r="I521" s="42" t="s">
        <v>1521</v>
      </c>
    </row>
    <row r="522" ht="15.75" customHeight="1">
      <c r="A522" s="41" t="s">
        <v>1522</v>
      </c>
      <c r="B522" s="19" t="s">
        <v>116</v>
      </c>
      <c r="C522" s="19" t="s">
        <v>45</v>
      </c>
      <c r="D522" s="42" t="s">
        <v>1523</v>
      </c>
      <c r="E522" s="42" t="s">
        <v>71</v>
      </c>
      <c r="F522" s="43">
        <v>44286.0</v>
      </c>
      <c r="G522" s="37"/>
      <c r="H522" s="39"/>
      <c r="I522" s="42" t="s">
        <v>1524</v>
      </c>
    </row>
    <row r="523" ht="15.75" customHeight="1">
      <c r="A523" s="44" t="s">
        <v>1525</v>
      </c>
      <c r="B523" s="19" t="s">
        <v>61</v>
      </c>
      <c r="C523" s="19" t="s">
        <v>45</v>
      </c>
      <c r="D523" s="45" t="s">
        <v>1526</v>
      </c>
      <c r="E523" s="45" t="s">
        <v>477</v>
      </c>
      <c r="F523" s="46">
        <v>44287.0</v>
      </c>
      <c r="G523" s="37"/>
      <c r="H523" s="39"/>
      <c r="I523" s="45" t="s">
        <v>1527</v>
      </c>
    </row>
    <row r="524" ht="15.75" customHeight="1">
      <c r="A524" s="44" t="s">
        <v>1528</v>
      </c>
      <c r="B524" s="19" t="s">
        <v>61</v>
      </c>
      <c r="C524" s="19" t="s">
        <v>244</v>
      </c>
      <c r="D524" s="45" t="s">
        <v>1529</v>
      </c>
      <c r="E524" s="45" t="s">
        <v>227</v>
      </c>
      <c r="F524" s="46">
        <v>44351.0</v>
      </c>
      <c r="G524" s="37"/>
      <c r="H524" s="39"/>
      <c r="I524" s="45" t="s">
        <v>1530</v>
      </c>
    </row>
    <row r="525" ht="15.75" customHeight="1">
      <c r="A525" s="44" t="s">
        <v>1531</v>
      </c>
      <c r="B525" s="19" t="s">
        <v>56</v>
      </c>
      <c r="C525" s="19" t="s">
        <v>45</v>
      </c>
      <c r="D525" s="45" t="s">
        <v>1532</v>
      </c>
      <c r="E525" s="45" t="s">
        <v>63</v>
      </c>
      <c r="F525" s="46">
        <v>44355.0</v>
      </c>
      <c r="G525" s="37"/>
      <c r="H525" s="39"/>
      <c r="I525" s="44" t="s">
        <v>1533</v>
      </c>
    </row>
    <row r="526" ht="15.75" customHeight="1">
      <c r="A526" s="44" t="s">
        <v>1534</v>
      </c>
      <c r="B526" s="19" t="s">
        <v>61</v>
      </c>
      <c r="C526" s="19" t="s">
        <v>45</v>
      </c>
      <c r="D526" s="47" t="s">
        <v>1535</v>
      </c>
      <c r="E526" s="47" t="s">
        <v>477</v>
      </c>
      <c r="F526" s="43">
        <v>44351.0</v>
      </c>
      <c r="G526" s="37"/>
      <c r="H526" s="39"/>
      <c r="I526" s="44" t="s">
        <v>1536</v>
      </c>
    </row>
    <row r="527" ht="15.75" customHeight="1">
      <c r="A527" s="44" t="s">
        <v>1537</v>
      </c>
      <c r="B527" s="19" t="s">
        <v>61</v>
      </c>
      <c r="C527" s="19" t="s">
        <v>45</v>
      </c>
      <c r="D527" s="47" t="s">
        <v>1538</v>
      </c>
      <c r="E527" s="47" t="s">
        <v>14</v>
      </c>
      <c r="F527" s="43">
        <v>44354.0</v>
      </c>
      <c r="G527" s="37"/>
      <c r="H527" s="39"/>
      <c r="I527" s="47" t="s">
        <v>1539</v>
      </c>
      <c r="J527" s="5" t="s">
        <v>1540</v>
      </c>
    </row>
    <row r="528" ht="15.75" customHeight="1">
      <c r="A528" s="44" t="s">
        <v>1541</v>
      </c>
      <c r="B528" s="19" t="s">
        <v>56</v>
      </c>
      <c r="C528" s="19" t="s">
        <v>45</v>
      </c>
      <c r="D528" s="45" t="s">
        <v>1542</v>
      </c>
      <c r="E528" s="45" t="s">
        <v>140</v>
      </c>
      <c r="F528" s="46">
        <v>44356.0</v>
      </c>
      <c r="G528" s="37"/>
      <c r="H528" s="39"/>
      <c r="I528" s="44" t="s">
        <v>1543</v>
      </c>
    </row>
    <row r="529" ht="15.75" customHeight="1">
      <c r="A529" s="44" t="s">
        <v>1544</v>
      </c>
      <c r="B529" s="19" t="s">
        <v>61</v>
      </c>
      <c r="C529" s="19" t="s">
        <v>45</v>
      </c>
      <c r="D529" s="45" t="s">
        <v>1520</v>
      </c>
      <c r="E529" s="45" t="s">
        <v>14</v>
      </c>
      <c r="F529" s="46">
        <v>44350.0</v>
      </c>
      <c r="G529" s="37"/>
      <c r="H529" s="39"/>
      <c r="I529" s="44" t="s">
        <v>1545</v>
      </c>
    </row>
    <row r="530" ht="15.75" customHeight="1">
      <c r="A530" s="44" t="s">
        <v>1546</v>
      </c>
      <c r="B530" s="19" t="s">
        <v>27</v>
      </c>
      <c r="C530" s="19" t="s">
        <v>45</v>
      </c>
      <c r="D530" s="45" t="s">
        <v>1547</v>
      </c>
      <c r="E530" s="45" t="s">
        <v>218</v>
      </c>
      <c r="F530" s="46">
        <v>44354.0</v>
      </c>
      <c r="G530" s="37"/>
      <c r="H530" s="39"/>
      <c r="I530" s="44" t="s">
        <v>1548</v>
      </c>
    </row>
    <row r="531" ht="15.75" customHeight="1">
      <c r="A531" s="35" t="s">
        <v>1549</v>
      </c>
      <c r="B531" s="19" t="s">
        <v>27</v>
      </c>
      <c r="C531" s="19" t="s">
        <v>45</v>
      </c>
      <c r="D531" s="35" t="s">
        <v>1550</v>
      </c>
      <c r="E531" s="35" t="s">
        <v>24</v>
      </c>
      <c r="F531" s="36">
        <v>44418.0</v>
      </c>
      <c r="G531" s="37"/>
      <c r="H531" s="39"/>
      <c r="I531" s="35" t="s">
        <v>1551</v>
      </c>
    </row>
    <row r="532" ht="15.75" customHeight="1">
      <c r="A532" s="35" t="s">
        <v>1552</v>
      </c>
      <c r="B532" s="19" t="s">
        <v>27</v>
      </c>
      <c r="C532" s="19" t="s">
        <v>45</v>
      </c>
      <c r="D532" s="35" t="s">
        <v>1553</v>
      </c>
      <c r="E532" s="35" t="s">
        <v>124</v>
      </c>
      <c r="F532" s="36">
        <v>44419.0</v>
      </c>
      <c r="G532" s="37"/>
      <c r="H532" s="39"/>
      <c r="I532" s="35" t="s">
        <v>1554</v>
      </c>
    </row>
    <row r="533" ht="15.75" customHeight="1">
      <c r="A533" s="35" t="s">
        <v>1555</v>
      </c>
      <c r="B533" s="19" t="s">
        <v>56</v>
      </c>
      <c r="C533" s="19" t="s">
        <v>45</v>
      </c>
      <c r="D533" s="35" t="s">
        <v>1556</v>
      </c>
      <c r="E533" s="35" t="s">
        <v>38</v>
      </c>
      <c r="F533" s="36">
        <v>44418.0</v>
      </c>
      <c r="G533" s="37"/>
      <c r="H533" s="39"/>
      <c r="I533" s="35" t="s">
        <v>1557</v>
      </c>
      <c r="J533" s="5" t="s">
        <v>1438</v>
      </c>
    </row>
    <row r="534" ht="15.75" customHeight="1">
      <c r="A534" s="35" t="s">
        <v>1558</v>
      </c>
      <c r="B534" s="19" t="s">
        <v>27</v>
      </c>
      <c r="C534" s="19" t="s">
        <v>45</v>
      </c>
      <c r="D534" s="35" t="s">
        <v>1559</v>
      </c>
      <c r="E534" s="35" t="s">
        <v>71</v>
      </c>
      <c r="F534" s="36">
        <v>44477.0</v>
      </c>
      <c r="G534" s="37"/>
      <c r="H534" s="39"/>
      <c r="I534" s="35" t="s">
        <v>1560</v>
      </c>
    </row>
    <row r="535" ht="15.75" customHeight="1">
      <c r="A535" s="35" t="s">
        <v>1561</v>
      </c>
      <c r="B535" s="19" t="s">
        <v>27</v>
      </c>
      <c r="C535" s="19" t="s">
        <v>45</v>
      </c>
      <c r="D535" s="35" t="s">
        <v>1562</v>
      </c>
      <c r="E535" s="35" t="s">
        <v>477</v>
      </c>
      <c r="F535" s="36">
        <v>44477.0</v>
      </c>
      <c r="G535" s="37"/>
      <c r="H535" s="39"/>
      <c r="I535" s="35" t="s">
        <v>1563</v>
      </c>
    </row>
    <row r="536" ht="15.75" customHeight="1">
      <c r="A536" s="35" t="s">
        <v>1564</v>
      </c>
      <c r="B536" s="19" t="s">
        <v>11</v>
      </c>
      <c r="C536" s="19" t="s">
        <v>45</v>
      </c>
      <c r="D536" s="35" t="s">
        <v>1401</v>
      </c>
      <c r="E536" s="35" t="s">
        <v>42</v>
      </c>
      <c r="F536" s="36">
        <v>44540.0</v>
      </c>
      <c r="G536" s="37"/>
      <c r="H536" s="39"/>
      <c r="I536" s="35" t="s">
        <v>1565</v>
      </c>
    </row>
    <row r="537" ht="15.75" customHeight="1">
      <c r="A537" s="35" t="s">
        <v>1566</v>
      </c>
      <c r="B537" s="19" t="s">
        <v>61</v>
      </c>
      <c r="C537" s="19" t="s">
        <v>45</v>
      </c>
      <c r="D537" s="35" t="s">
        <v>1479</v>
      </c>
      <c r="E537" s="35" t="s">
        <v>288</v>
      </c>
      <c r="F537" s="36">
        <v>44533.0</v>
      </c>
      <c r="G537" s="37"/>
      <c r="H537" s="39"/>
      <c r="I537" s="35" t="s">
        <v>1567</v>
      </c>
    </row>
    <row r="538" ht="15.75" customHeight="1">
      <c r="A538" s="35" t="s">
        <v>1568</v>
      </c>
      <c r="B538" s="19" t="s">
        <v>116</v>
      </c>
      <c r="C538" s="19" t="s">
        <v>45</v>
      </c>
      <c r="D538" s="35" t="s">
        <v>1559</v>
      </c>
      <c r="E538" s="35" t="s">
        <v>71</v>
      </c>
      <c r="F538" s="36">
        <v>44594.0</v>
      </c>
      <c r="G538" s="37"/>
      <c r="H538" s="39"/>
      <c r="I538" s="35" t="s">
        <v>1569</v>
      </c>
    </row>
    <row r="539" ht="15.75" customHeight="1">
      <c r="A539" s="35" t="s">
        <v>1570</v>
      </c>
      <c r="B539" s="19" t="s">
        <v>27</v>
      </c>
      <c r="C539" s="19" t="s">
        <v>45</v>
      </c>
      <c r="D539" s="35" t="s">
        <v>1571</v>
      </c>
      <c r="E539" s="35" t="s">
        <v>30</v>
      </c>
      <c r="F539" s="36">
        <v>44593.0</v>
      </c>
      <c r="G539" s="37"/>
      <c r="H539" s="39"/>
      <c r="I539" s="35" t="s">
        <v>1572</v>
      </c>
    </row>
    <row r="540" ht="15.75" customHeight="1">
      <c r="A540" s="35" t="s">
        <v>1573</v>
      </c>
      <c r="B540" s="19" t="s">
        <v>116</v>
      </c>
      <c r="C540" s="19" t="s">
        <v>45</v>
      </c>
      <c r="D540" s="35" t="s">
        <v>1574</v>
      </c>
      <c r="E540" s="35" t="s">
        <v>381</v>
      </c>
      <c r="F540" s="36">
        <v>44658.0</v>
      </c>
      <c r="G540" s="37"/>
      <c r="H540" s="39"/>
      <c r="I540" s="35" t="s">
        <v>1575</v>
      </c>
    </row>
    <row r="541" ht="15.75" customHeight="1">
      <c r="A541" s="35" t="s">
        <v>1576</v>
      </c>
      <c r="B541" s="19" t="s">
        <v>27</v>
      </c>
      <c r="C541" s="19" t="s">
        <v>45</v>
      </c>
      <c r="D541" s="35" t="s">
        <v>1577</v>
      </c>
      <c r="E541" s="35" t="s">
        <v>124</v>
      </c>
      <c r="F541" s="36">
        <v>44659.0</v>
      </c>
      <c r="G541" s="37"/>
      <c r="H541" s="39"/>
      <c r="I541" s="35" t="s">
        <v>1578</v>
      </c>
    </row>
    <row r="542" ht="15.75" customHeight="1">
      <c r="A542" s="35" t="s">
        <v>1579</v>
      </c>
      <c r="B542" s="19" t="s">
        <v>584</v>
      </c>
      <c r="C542" s="19" t="s">
        <v>45</v>
      </c>
      <c r="D542" s="35" t="s">
        <v>1580</v>
      </c>
      <c r="E542" s="35" t="s">
        <v>38</v>
      </c>
      <c r="F542" s="36">
        <v>44713.0</v>
      </c>
      <c r="G542" s="37"/>
      <c r="H542" s="39"/>
      <c r="I542" s="35" t="s">
        <v>1581</v>
      </c>
    </row>
    <row r="543" ht="15.75" customHeight="1">
      <c r="A543" s="35" t="s">
        <v>1582</v>
      </c>
      <c r="B543" s="19" t="s">
        <v>27</v>
      </c>
      <c r="C543" s="19" t="s">
        <v>45</v>
      </c>
      <c r="D543" s="35" t="s">
        <v>1583</v>
      </c>
      <c r="E543" s="35" t="s">
        <v>128</v>
      </c>
      <c r="F543" s="36">
        <v>44718.0</v>
      </c>
      <c r="G543" s="37"/>
      <c r="H543" s="39"/>
      <c r="I543" s="35" t="s">
        <v>1584</v>
      </c>
    </row>
    <row r="544" ht="15.75" customHeight="1">
      <c r="A544" s="35" t="s">
        <v>1585</v>
      </c>
      <c r="B544" s="19" t="s">
        <v>56</v>
      </c>
      <c r="C544" s="19" t="s">
        <v>45</v>
      </c>
      <c r="D544" s="35" t="s">
        <v>1586</v>
      </c>
      <c r="E544" s="35" t="s">
        <v>124</v>
      </c>
      <c r="F544" s="36">
        <v>44713.0</v>
      </c>
      <c r="G544" s="37"/>
      <c r="H544" s="39"/>
      <c r="I544" s="35" t="s">
        <v>1587</v>
      </c>
    </row>
    <row r="545" ht="15.75" customHeight="1">
      <c r="A545" s="35" t="s">
        <v>1588</v>
      </c>
      <c r="B545" s="19" t="s">
        <v>56</v>
      </c>
      <c r="C545" s="19" t="s">
        <v>45</v>
      </c>
      <c r="D545" s="35" t="s">
        <v>1542</v>
      </c>
      <c r="E545" s="35" t="s">
        <v>140</v>
      </c>
      <c r="F545" s="36">
        <v>44715.0</v>
      </c>
      <c r="G545" s="37"/>
      <c r="H545" s="39"/>
      <c r="I545" s="35" t="s">
        <v>1589</v>
      </c>
    </row>
    <row r="546" ht="15.75" customHeight="1">
      <c r="A546" s="35" t="s">
        <v>1590</v>
      </c>
      <c r="B546" s="19" t="s">
        <v>61</v>
      </c>
      <c r="C546" s="19" t="s">
        <v>112</v>
      </c>
      <c r="D546" s="35" t="s">
        <v>1591</v>
      </c>
      <c r="E546" s="35" t="s">
        <v>1049</v>
      </c>
      <c r="F546" s="36">
        <v>44630.0</v>
      </c>
      <c r="G546" s="37"/>
      <c r="H546" s="39"/>
      <c r="I546" s="35" t="s">
        <v>1592</v>
      </c>
    </row>
    <row r="547" ht="15.75" customHeight="1">
      <c r="A547" s="35" t="s">
        <v>1593</v>
      </c>
      <c r="B547" s="19" t="s">
        <v>11</v>
      </c>
      <c r="C547" s="19" t="s">
        <v>112</v>
      </c>
      <c r="D547" s="35" t="s">
        <v>1594</v>
      </c>
      <c r="E547" s="35" t="s">
        <v>160</v>
      </c>
      <c r="F547" s="36">
        <v>44651.0</v>
      </c>
      <c r="G547" s="37"/>
      <c r="H547" s="39"/>
      <c r="I547" s="35" t="s">
        <v>1595</v>
      </c>
    </row>
    <row r="548" ht="15.75" customHeight="1">
      <c r="A548" s="35" t="s">
        <v>1596</v>
      </c>
      <c r="B548" s="19" t="s">
        <v>111</v>
      </c>
      <c r="C548" s="19" t="s">
        <v>112</v>
      </c>
      <c r="D548" s="35" t="s">
        <v>1597</v>
      </c>
      <c r="E548" s="35" t="s">
        <v>1049</v>
      </c>
      <c r="F548" s="36">
        <v>44653.0</v>
      </c>
      <c r="G548" s="37"/>
      <c r="H548" s="39"/>
      <c r="I548" s="35" t="s">
        <v>1598</v>
      </c>
    </row>
    <row r="549" ht="15.75" customHeight="1">
      <c r="A549" s="35" t="s">
        <v>1599</v>
      </c>
      <c r="B549" s="19" t="s">
        <v>27</v>
      </c>
      <c r="C549" s="19" t="s">
        <v>112</v>
      </c>
      <c r="D549" s="35" t="s">
        <v>1600</v>
      </c>
      <c r="E549" s="35" t="s">
        <v>572</v>
      </c>
      <c r="F549" s="36">
        <v>44777.0</v>
      </c>
      <c r="G549" s="37"/>
      <c r="H549" s="39"/>
      <c r="I549" s="35" t="s">
        <v>1601</v>
      </c>
    </row>
    <row r="550" ht="15.75" customHeight="1">
      <c r="A550" s="35" t="s">
        <v>1602</v>
      </c>
      <c r="B550" s="19" t="s">
        <v>27</v>
      </c>
      <c r="C550" s="19" t="s">
        <v>45</v>
      </c>
      <c r="D550" s="35" t="s">
        <v>1603</v>
      </c>
      <c r="E550" s="35" t="s">
        <v>124</v>
      </c>
      <c r="F550" s="36">
        <v>44778.0</v>
      </c>
      <c r="G550" s="37"/>
      <c r="H550" s="39"/>
      <c r="I550" s="35" t="s">
        <v>1604</v>
      </c>
    </row>
    <row r="551" ht="15.75" customHeight="1">
      <c r="A551" s="35" t="s">
        <v>1605</v>
      </c>
      <c r="B551" s="19" t="s">
        <v>11</v>
      </c>
      <c r="C551" s="19" t="s">
        <v>45</v>
      </c>
      <c r="D551" s="35" t="s">
        <v>1417</v>
      </c>
      <c r="E551" s="35" t="s">
        <v>42</v>
      </c>
      <c r="F551" s="36">
        <v>44778.0</v>
      </c>
      <c r="G551" s="37"/>
      <c r="H551" s="39"/>
      <c r="I551" s="35" t="s">
        <v>1606</v>
      </c>
    </row>
    <row r="552" ht="15.75" customHeight="1">
      <c r="A552" s="35" t="s">
        <v>1607</v>
      </c>
      <c r="B552" s="19" t="s">
        <v>27</v>
      </c>
      <c r="C552" s="19" t="s">
        <v>45</v>
      </c>
      <c r="D552" s="35" t="s">
        <v>1608</v>
      </c>
      <c r="E552" s="35" t="s">
        <v>160</v>
      </c>
      <c r="F552" s="36">
        <v>44776.0</v>
      </c>
      <c r="G552" s="37"/>
      <c r="H552" s="39"/>
      <c r="I552" s="35" t="s">
        <v>1609</v>
      </c>
    </row>
    <row r="553" ht="15.75" customHeight="1">
      <c r="A553" s="35" t="s">
        <v>1610</v>
      </c>
      <c r="B553" s="19" t="s">
        <v>11</v>
      </c>
      <c r="C553" s="19" t="s">
        <v>45</v>
      </c>
      <c r="D553" s="35" t="s">
        <v>1611</v>
      </c>
      <c r="E553" s="35" t="s">
        <v>1168</v>
      </c>
      <c r="F553" s="36">
        <v>44776.0</v>
      </c>
      <c r="G553" s="37"/>
      <c r="H553" s="39"/>
      <c r="I553" s="35" t="s">
        <v>1612</v>
      </c>
    </row>
    <row r="554" ht="15.75" customHeight="1">
      <c r="A554" s="35" t="s">
        <v>1613</v>
      </c>
      <c r="B554" s="19" t="s">
        <v>27</v>
      </c>
      <c r="C554" s="19" t="s">
        <v>45</v>
      </c>
      <c r="D554" s="35" t="s">
        <v>1463</v>
      </c>
      <c r="E554" s="35" t="s">
        <v>38</v>
      </c>
      <c r="F554" s="36">
        <v>44839.0</v>
      </c>
      <c r="G554" s="37"/>
      <c r="H554" s="39"/>
      <c r="I554" s="35" t="s">
        <v>1614</v>
      </c>
    </row>
    <row r="555" ht="15.75" customHeight="1">
      <c r="A555" s="35" t="s">
        <v>1615</v>
      </c>
      <c r="B555" s="19" t="s">
        <v>27</v>
      </c>
      <c r="C555" s="19" t="s">
        <v>45</v>
      </c>
      <c r="D555" s="35" t="s">
        <v>1616</v>
      </c>
      <c r="E555" s="35" t="s">
        <v>101</v>
      </c>
      <c r="F555" s="36">
        <v>44841.0</v>
      </c>
      <c r="G555" s="37"/>
      <c r="H555" s="39"/>
      <c r="I555" s="35" t="s">
        <v>1617</v>
      </c>
    </row>
    <row r="556" ht="15.75" customHeight="1">
      <c r="A556" s="35" t="s">
        <v>1618</v>
      </c>
      <c r="B556" s="19" t="s">
        <v>27</v>
      </c>
      <c r="C556" s="19" t="s">
        <v>45</v>
      </c>
      <c r="D556" s="35" t="s">
        <v>1508</v>
      </c>
      <c r="E556" s="35" t="s">
        <v>14</v>
      </c>
      <c r="F556" s="36">
        <v>44840.0</v>
      </c>
      <c r="G556" s="37"/>
      <c r="H556" s="39"/>
      <c r="I556" s="35" t="s">
        <v>1619</v>
      </c>
      <c r="J556" s="5" t="s">
        <v>1620</v>
      </c>
    </row>
    <row r="557" ht="15.75" customHeight="1">
      <c r="A557" s="35" t="s">
        <v>1621</v>
      </c>
      <c r="B557" s="19" t="s">
        <v>27</v>
      </c>
      <c r="C557" s="19" t="s">
        <v>45</v>
      </c>
      <c r="D557" s="35" t="s">
        <v>1622</v>
      </c>
      <c r="E557" s="35" t="s">
        <v>38</v>
      </c>
      <c r="F557" s="36">
        <v>44917.0</v>
      </c>
      <c r="G557" s="37"/>
      <c r="H557" s="39"/>
      <c r="I557" s="35" t="s">
        <v>1623</v>
      </c>
    </row>
    <row r="558" ht="15.75" customHeight="1">
      <c r="A558" s="35" t="s">
        <v>1624</v>
      </c>
      <c r="B558" s="19" t="s">
        <v>27</v>
      </c>
      <c r="C558" s="19" t="s">
        <v>45</v>
      </c>
      <c r="D558" s="35" t="s">
        <v>1625</v>
      </c>
      <c r="E558" s="35" t="s">
        <v>324</v>
      </c>
      <c r="F558" s="36">
        <v>44910.0</v>
      </c>
      <c r="G558" s="37"/>
      <c r="H558" s="39"/>
      <c r="I558" s="35" t="s">
        <v>1626</v>
      </c>
    </row>
    <row r="559" ht="15.75" customHeight="1">
      <c r="A559" s="35" t="s">
        <v>1627</v>
      </c>
      <c r="B559" s="19" t="s">
        <v>27</v>
      </c>
      <c r="C559" s="19" t="s">
        <v>45</v>
      </c>
      <c r="D559" s="35" t="s">
        <v>1628</v>
      </c>
      <c r="E559" s="35" t="s">
        <v>58</v>
      </c>
      <c r="F559" s="36">
        <v>44908.0</v>
      </c>
      <c r="G559" s="37"/>
      <c r="H559" s="39"/>
      <c r="I559" s="35" t="s">
        <v>1629</v>
      </c>
    </row>
    <row r="560" ht="15.75" customHeight="1">
      <c r="A560" s="35" t="s">
        <v>1630</v>
      </c>
      <c r="B560" s="19" t="s">
        <v>61</v>
      </c>
      <c r="C560" s="19" t="s">
        <v>45</v>
      </c>
      <c r="D560" s="35" t="s">
        <v>1631</v>
      </c>
      <c r="E560" s="35" t="s">
        <v>34</v>
      </c>
      <c r="F560" s="36">
        <v>44958.0</v>
      </c>
      <c r="G560" s="37"/>
      <c r="H560" s="39"/>
      <c r="I560" s="35" t="s">
        <v>1632</v>
      </c>
    </row>
    <row r="561" ht="15.75" customHeight="1">
      <c r="A561" s="35" t="s">
        <v>1633</v>
      </c>
      <c r="B561" s="19" t="s">
        <v>61</v>
      </c>
      <c r="C561" s="19" t="s">
        <v>45</v>
      </c>
      <c r="D561" s="35" t="s">
        <v>1634</v>
      </c>
      <c r="E561" s="35" t="s">
        <v>324</v>
      </c>
      <c r="F561" s="36">
        <v>44958.0</v>
      </c>
      <c r="G561" s="37"/>
      <c r="H561" s="39"/>
      <c r="I561" s="35" t="s">
        <v>1635</v>
      </c>
    </row>
    <row r="562" ht="15.75" customHeight="1">
      <c r="A562" s="35" t="s">
        <v>1636</v>
      </c>
      <c r="B562" s="19" t="s">
        <v>116</v>
      </c>
      <c r="C562" s="19" t="s">
        <v>45</v>
      </c>
      <c r="D562" s="35" t="s">
        <v>1637</v>
      </c>
      <c r="E562" s="35" t="s">
        <v>124</v>
      </c>
      <c r="F562" s="36">
        <v>44958.0</v>
      </c>
      <c r="G562" s="37"/>
      <c r="H562" s="39"/>
      <c r="I562" s="35" t="s">
        <v>1638</v>
      </c>
    </row>
    <row r="563" ht="15.75" customHeight="1">
      <c r="A563" s="35" t="s">
        <v>1639</v>
      </c>
      <c r="B563" s="19" t="s">
        <v>27</v>
      </c>
      <c r="C563" s="19" t="s">
        <v>45</v>
      </c>
      <c r="D563" s="35" t="s">
        <v>1640</v>
      </c>
      <c r="E563" s="35" t="s">
        <v>124</v>
      </c>
      <c r="F563" s="36">
        <v>44963.0</v>
      </c>
      <c r="G563" s="37"/>
      <c r="H563" s="39"/>
      <c r="I563" s="35" t="s">
        <v>1641</v>
      </c>
      <c r="J563" s="5" t="s">
        <v>1620</v>
      </c>
    </row>
    <row r="564" ht="15.75" customHeight="1">
      <c r="A564" s="35" t="s">
        <v>1642</v>
      </c>
      <c r="B564" s="19" t="s">
        <v>56</v>
      </c>
      <c r="C564" s="19" t="s">
        <v>244</v>
      </c>
      <c r="D564" s="35" t="s">
        <v>1643</v>
      </c>
      <c r="E564" s="35" t="s">
        <v>1644</v>
      </c>
      <c r="F564" s="36">
        <v>44963.0</v>
      </c>
      <c r="G564" s="37"/>
      <c r="H564" s="39"/>
      <c r="I564" s="35" t="s">
        <v>1645</v>
      </c>
    </row>
    <row r="565" ht="15.75" customHeight="1">
      <c r="A565" s="35" t="s">
        <v>1646</v>
      </c>
      <c r="B565" s="19" t="s">
        <v>116</v>
      </c>
      <c r="C565" s="19" t="s">
        <v>45</v>
      </c>
      <c r="D565" s="35" t="s">
        <v>1647</v>
      </c>
      <c r="E565" s="35" t="s">
        <v>678</v>
      </c>
      <c r="F565" s="36">
        <v>44965.0</v>
      </c>
      <c r="G565" s="37"/>
      <c r="H565" s="39"/>
      <c r="I565" s="35" t="s">
        <v>1648</v>
      </c>
    </row>
    <row r="566" ht="15.75" customHeight="1">
      <c r="A566" s="35" t="s">
        <v>1649</v>
      </c>
      <c r="B566" s="19" t="s">
        <v>56</v>
      </c>
      <c r="C566" s="19" t="s">
        <v>45</v>
      </c>
      <c r="D566" s="35" t="s">
        <v>1650</v>
      </c>
      <c r="E566" s="35" t="s">
        <v>241</v>
      </c>
      <c r="F566" s="36">
        <v>45026.0</v>
      </c>
      <c r="G566" s="37"/>
      <c r="H566" s="39"/>
      <c r="I566" s="35" t="s">
        <v>1651</v>
      </c>
    </row>
    <row r="567" ht="15.75" customHeight="1">
      <c r="A567" s="35" t="s">
        <v>1652</v>
      </c>
      <c r="B567" s="19" t="s">
        <v>98</v>
      </c>
      <c r="C567" s="19" t="s">
        <v>244</v>
      </c>
      <c r="D567" s="35" t="s">
        <v>1653</v>
      </c>
      <c r="E567" s="35" t="s">
        <v>132</v>
      </c>
      <c r="F567" s="36">
        <v>45023.0</v>
      </c>
      <c r="G567" s="37"/>
      <c r="H567" s="39"/>
      <c r="I567" s="35" t="s">
        <v>1654</v>
      </c>
    </row>
    <row r="568" ht="15.75" customHeight="1">
      <c r="A568" s="35" t="s">
        <v>1655</v>
      </c>
      <c r="B568" s="19" t="s">
        <v>1407</v>
      </c>
      <c r="C568" s="19" t="s">
        <v>112</v>
      </c>
      <c r="D568" s="35" t="s">
        <v>1479</v>
      </c>
      <c r="E568" s="35" t="s">
        <v>288</v>
      </c>
      <c r="F568" s="36">
        <v>45079.0</v>
      </c>
      <c r="G568" s="37"/>
      <c r="H568" s="39"/>
      <c r="I568" s="35" t="s">
        <v>1656</v>
      </c>
    </row>
    <row r="569" ht="15.75" customHeight="1">
      <c r="A569" s="35" t="s">
        <v>1657</v>
      </c>
      <c r="B569" s="19" t="s">
        <v>61</v>
      </c>
      <c r="C569" s="19" t="s">
        <v>112</v>
      </c>
      <c r="D569" s="35" t="s">
        <v>1658</v>
      </c>
      <c r="E569" s="35" t="s">
        <v>19</v>
      </c>
      <c r="F569" s="36">
        <v>45079.0</v>
      </c>
      <c r="G569" s="37"/>
      <c r="H569" s="39"/>
      <c r="I569" s="48" t="s">
        <v>1659</v>
      </c>
    </row>
    <row r="570" ht="15.75" customHeight="1">
      <c r="A570" s="35" t="s">
        <v>1660</v>
      </c>
      <c r="B570" s="19" t="s">
        <v>11</v>
      </c>
      <c r="C570" s="19" t="s">
        <v>112</v>
      </c>
      <c r="D570" s="35" t="s">
        <v>1661</v>
      </c>
      <c r="E570" s="35" t="s">
        <v>24</v>
      </c>
      <c r="F570" s="36">
        <v>45082.0</v>
      </c>
      <c r="G570" s="37"/>
      <c r="H570" s="39"/>
      <c r="I570" s="35" t="s">
        <v>1662</v>
      </c>
    </row>
    <row r="571" ht="15.75" customHeight="1">
      <c r="A571" s="35" t="s">
        <v>1663</v>
      </c>
      <c r="B571" s="19" t="s">
        <v>22</v>
      </c>
      <c r="C571" s="19" t="s">
        <v>112</v>
      </c>
      <c r="D571" s="35" t="s">
        <v>1664</v>
      </c>
      <c r="E571" s="35" t="s">
        <v>477</v>
      </c>
      <c r="F571" s="36">
        <v>45082.0</v>
      </c>
      <c r="G571" s="37"/>
      <c r="H571" s="39"/>
      <c r="I571" s="35" t="s">
        <v>1665</v>
      </c>
    </row>
    <row r="572" ht="15.75" customHeight="1">
      <c r="A572" s="35" t="s">
        <v>1666</v>
      </c>
      <c r="B572" s="19" t="s">
        <v>27</v>
      </c>
      <c r="C572" s="19" t="s">
        <v>45</v>
      </c>
      <c r="D572" s="35" t="s">
        <v>1667</v>
      </c>
      <c r="E572" s="35" t="s">
        <v>678</v>
      </c>
      <c r="F572" s="36">
        <v>45079.0</v>
      </c>
      <c r="G572" s="37"/>
      <c r="H572" s="39"/>
      <c r="I572" s="35" t="s">
        <v>1668</v>
      </c>
    </row>
    <row r="573" ht="15.75" customHeight="1">
      <c r="A573" s="35" t="s">
        <v>1669</v>
      </c>
      <c r="B573" s="19" t="s">
        <v>27</v>
      </c>
      <c r="C573" s="19" t="s">
        <v>45</v>
      </c>
      <c r="D573" s="35" t="s">
        <v>1670</v>
      </c>
      <c r="E573" s="35" t="s">
        <v>124</v>
      </c>
      <c r="F573" s="36">
        <v>45079.0</v>
      </c>
      <c r="G573" s="37"/>
      <c r="H573" s="39"/>
      <c r="I573" s="35" t="s">
        <v>1671</v>
      </c>
    </row>
    <row r="574" ht="15.75" customHeight="1">
      <c r="A574" s="35" t="s">
        <v>1672</v>
      </c>
      <c r="B574" s="19" t="s">
        <v>116</v>
      </c>
      <c r="C574" s="19" t="s">
        <v>45</v>
      </c>
      <c r="D574" s="35" t="s">
        <v>1433</v>
      </c>
      <c r="E574" s="35" t="s">
        <v>34</v>
      </c>
      <c r="F574" s="36">
        <v>45141.0</v>
      </c>
      <c r="G574" s="37"/>
      <c r="H574" s="39"/>
      <c r="I574" s="35" t="s">
        <v>1673</v>
      </c>
    </row>
    <row r="575" ht="15.75" customHeight="1">
      <c r="A575" s="35" t="s">
        <v>1674</v>
      </c>
      <c r="B575" s="19" t="s">
        <v>27</v>
      </c>
      <c r="C575" s="19" t="s">
        <v>45</v>
      </c>
      <c r="D575" s="35" t="s">
        <v>1675</v>
      </c>
      <c r="E575" s="35" t="s">
        <v>529</v>
      </c>
      <c r="F575" s="36">
        <v>45146.0</v>
      </c>
      <c r="G575" s="37"/>
      <c r="H575" s="39"/>
      <c r="I575" s="35" t="s">
        <v>1676</v>
      </c>
    </row>
    <row r="576" ht="15.75" customHeight="1">
      <c r="A576" s="35" t="s">
        <v>1677</v>
      </c>
      <c r="B576" s="19" t="s">
        <v>1407</v>
      </c>
      <c r="C576" s="19" t="s">
        <v>45</v>
      </c>
      <c r="D576" s="35" t="s">
        <v>1678</v>
      </c>
      <c r="E576" s="35" t="s">
        <v>128</v>
      </c>
      <c r="F576" s="36">
        <v>45203.0</v>
      </c>
      <c r="G576" s="37"/>
      <c r="H576" s="39"/>
      <c r="I576" s="35" t="s">
        <v>1679</v>
      </c>
    </row>
    <row r="577" ht="15.75" customHeight="1">
      <c r="A577" s="35" t="s">
        <v>1680</v>
      </c>
      <c r="B577" s="19" t="s">
        <v>61</v>
      </c>
      <c r="C577" s="19" t="s">
        <v>45</v>
      </c>
      <c r="D577" s="35" t="s">
        <v>1538</v>
      </c>
      <c r="E577" s="35" t="s">
        <v>14</v>
      </c>
      <c r="F577" s="36">
        <v>45203.0</v>
      </c>
      <c r="G577" s="37"/>
      <c r="H577" s="39"/>
      <c r="I577" s="35" t="s">
        <v>1681</v>
      </c>
      <c r="J577" s="5" t="s">
        <v>1682</v>
      </c>
    </row>
    <row r="578" ht="15.75" customHeight="1">
      <c r="A578" s="35" t="s">
        <v>1683</v>
      </c>
      <c r="B578" s="19" t="s">
        <v>27</v>
      </c>
      <c r="C578" s="19" t="s">
        <v>45</v>
      </c>
      <c r="D578" s="35" t="s">
        <v>1684</v>
      </c>
      <c r="E578" s="35" t="s">
        <v>14</v>
      </c>
      <c r="F578" s="36">
        <v>45268.0</v>
      </c>
      <c r="G578" s="37"/>
      <c r="H578" s="39"/>
      <c r="I578" s="35" t="s">
        <v>1685</v>
      </c>
    </row>
    <row r="579" ht="15.75" customHeight="1">
      <c r="A579" s="35" t="s">
        <v>1686</v>
      </c>
      <c r="B579" s="19" t="s">
        <v>116</v>
      </c>
      <c r="C579" s="19" t="s">
        <v>45</v>
      </c>
      <c r="D579" s="35" t="s">
        <v>1687</v>
      </c>
      <c r="E579" s="35" t="s">
        <v>101</v>
      </c>
      <c r="F579" s="36">
        <v>45266.0</v>
      </c>
      <c r="G579" s="37"/>
      <c r="H579" s="39"/>
      <c r="I579" s="35" t="s">
        <v>1688</v>
      </c>
    </row>
    <row r="580" ht="15.75" customHeight="1">
      <c r="A580" s="35" t="s">
        <v>1689</v>
      </c>
      <c r="B580" s="19" t="s">
        <v>1407</v>
      </c>
      <c r="C580" s="19" t="s">
        <v>45</v>
      </c>
      <c r="D580" s="35" t="s">
        <v>1535</v>
      </c>
      <c r="E580" s="35" t="s">
        <v>477</v>
      </c>
      <c r="F580" s="36">
        <v>45327.0</v>
      </c>
      <c r="G580" s="37"/>
      <c r="H580" s="39"/>
      <c r="I580" s="35" t="s">
        <v>1690</v>
      </c>
    </row>
    <row r="581" ht="15.75" customHeight="1">
      <c r="A581" s="35" t="s">
        <v>1691</v>
      </c>
      <c r="B581" s="19" t="s">
        <v>27</v>
      </c>
      <c r="C581" s="19" t="s">
        <v>112</v>
      </c>
      <c r="D581" s="35" t="s">
        <v>1692</v>
      </c>
      <c r="E581" s="35" t="s">
        <v>205</v>
      </c>
      <c r="F581" s="36">
        <v>45324.0</v>
      </c>
      <c r="G581" s="37"/>
      <c r="H581" s="39"/>
      <c r="I581" s="35" t="s">
        <v>1693</v>
      </c>
    </row>
    <row r="582" ht="15.75" customHeight="1">
      <c r="A582" s="35" t="s">
        <v>1694</v>
      </c>
      <c r="B582" s="19" t="s">
        <v>11</v>
      </c>
      <c r="C582" s="19" t="s">
        <v>112</v>
      </c>
      <c r="D582" s="35" t="s">
        <v>1695</v>
      </c>
      <c r="E582" s="35" t="s">
        <v>205</v>
      </c>
      <c r="F582" s="36">
        <v>45321.0</v>
      </c>
      <c r="G582" s="37"/>
      <c r="H582" s="39"/>
      <c r="I582" s="35" t="s">
        <v>1696</v>
      </c>
    </row>
    <row r="583" ht="15.75" customHeight="1">
      <c r="A583" s="35" t="s">
        <v>1697</v>
      </c>
      <c r="B583" s="19" t="s">
        <v>27</v>
      </c>
      <c r="C583" s="19" t="s">
        <v>112</v>
      </c>
      <c r="D583" s="35" t="s">
        <v>1698</v>
      </c>
      <c r="E583" s="35" t="s">
        <v>19</v>
      </c>
      <c r="F583" s="36">
        <v>45324.0</v>
      </c>
      <c r="G583" s="37"/>
      <c r="H583" s="39"/>
      <c r="I583" s="35" t="s">
        <v>1699</v>
      </c>
    </row>
    <row r="584" ht="15.75" customHeight="1">
      <c r="A584" s="35" t="s">
        <v>1700</v>
      </c>
      <c r="B584" s="19" t="s">
        <v>1407</v>
      </c>
      <c r="C584" s="19" t="s">
        <v>112</v>
      </c>
      <c r="D584" s="35" t="s">
        <v>1701</v>
      </c>
      <c r="E584" s="35" t="s">
        <v>101</v>
      </c>
      <c r="F584" s="36">
        <v>45321.0</v>
      </c>
      <c r="G584" s="37"/>
      <c r="H584" s="39"/>
      <c r="I584" s="35" t="s">
        <v>1702</v>
      </c>
    </row>
    <row r="585" ht="15.75" customHeight="1">
      <c r="A585" s="35" t="s">
        <v>1703</v>
      </c>
      <c r="B585" s="19" t="s">
        <v>56</v>
      </c>
      <c r="C585" s="19" t="s">
        <v>112</v>
      </c>
      <c r="D585" s="35" t="s">
        <v>1704</v>
      </c>
      <c r="E585" s="35" t="s">
        <v>38</v>
      </c>
      <c r="F585" s="36">
        <v>45394.0</v>
      </c>
      <c r="G585" s="37"/>
      <c r="H585" s="39"/>
      <c r="I585" s="35" t="s">
        <v>1705</v>
      </c>
    </row>
    <row r="586" ht="15.75" customHeight="1">
      <c r="A586" s="35" t="s">
        <v>1706</v>
      </c>
      <c r="B586" s="19" t="s">
        <v>1407</v>
      </c>
      <c r="C586" s="19" t="s">
        <v>112</v>
      </c>
      <c r="D586" s="35" t="s">
        <v>1707</v>
      </c>
      <c r="E586" s="35" t="s">
        <v>14</v>
      </c>
      <c r="F586" s="36">
        <v>45393.0</v>
      </c>
      <c r="G586" s="37"/>
      <c r="H586" s="39"/>
      <c r="I586" s="35" t="s">
        <v>1708</v>
      </c>
    </row>
    <row r="587" ht="15.75" customHeight="1">
      <c r="A587" s="35" t="s">
        <v>1709</v>
      </c>
      <c r="B587" s="19" t="s">
        <v>27</v>
      </c>
      <c r="C587" s="19" t="s">
        <v>112</v>
      </c>
      <c r="D587" s="35" t="s">
        <v>1710</v>
      </c>
      <c r="E587" s="35" t="s">
        <v>14</v>
      </c>
      <c r="F587" s="36">
        <v>45393.0</v>
      </c>
      <c r="G587" s="37"/>
      <c r="H587" s="39"/>
      <c r="I587" s="35" t="s">
        <v>1711</v>
      </c>
    </row>
    <row r="588" ht="15.75" customHeight="1">
      <c r="A588" s="35" t="s">
        <v>1712</v>
      </c>
      <c r="B588" s="19" t="s">
        <v>61</v>
      </c>
      <c r="C588" s="19" t="s">
        <v>112</v>
      </c>
      <c r="D588" s="35" t="s">
        <v>1511</v>
      </c>
      <c r="E588" s="35" t="s">
        <v>1308</v>
      </c>
      <c r="F588" s="36">
        <v>45393.0</v>
      </c>
      <c r="G588" s="37"/>
      <c r="H588" s="39"/>
      <c r="I588" s="35" t="s">
        <v>1713</v>
      </c>
    </row>
    <row r="589" ht="15.75" customHeight="1">
      <c r="A589" s="35" t="s">
        <v>1714</v>
      </c>
      <c r="B589" s="19" t="s">
        <v>11</v>
      </c>
      <c r="C589" s="19" t="s">
        <v>112</v>
      </c>
      <c r="D589" s="35" t="s">
        <v>1715</v>
      </c>
      <c r="E589" s="35" t="s">
        <v>1716</v>
      </c>
      <c r="F589" s="36">
        <v>45393.0</v>
      </c>
      <c r="G589" s="37"/>
      <c r="H589" s="39"/>
      <c r="I589" s="35" t="s">
        <v>1717</v>
      </c>
    </row>
    <row r="590" ht="15.75" customHeight="1">
      <c r="A590" s="35" t="s">
        <v>1718</v>
      </c>
      <c r="B590" s="19" t="s">
        <v>56</v>
      </c>
      <c r="C590" s="19" t="s">
        <v>112</v>
      </c>
      <c r="D590" s="35" t="s">
        <v>1719</v>
      </c>
      <c r="E590" s="35" t="s">
        <v>205</v>
      </c>
      <c r="F590" s="36">
        <v>45450.0</v>
      </c>
      <c r="G590" s="37"/>
      <c r="H590" s="39"/>
      <c r="I590" s="35" t="s">
        <v>1720</v>
      </c>
    </row>
    <row r="591" ht="15.75" customHeight="1">
      <c r="A591" s="35" t="s">
        <v>1721</v>
      </c>
      <c r="B591" s="19" t="s">
        <v>1407</v>
      </c>
      <c r="C591" s="19" t="s">
        <v>112</v>
      </c>
      <c r="D591" s="35" t="s">
        <v>1722</v>
      </c>
      <c r="E591" s="35" t="s">
        <v>140</v>
      </c>
      <c r="F591" s="36">
        <v>45450.0</v>
      </c>
      <c r="G591" s="37"/>
      <c r="H591" s="39"/>
      <c r="I591" s="35" t="s">
        <v>1723</v>
      </c>
    </row>
    <row r="592" ht="15.75" customHeight="1">
      <c r="A592" s="35" t="s">
        <v>1724</v>
      </c>
      <c r="B592" s="19" t="s">
        <v>56</v>
      </c>
      <c r="C592" s="19" t="s">
        <v>244</v>
      </c>
      <c r="D592" s="35" t="s">
        <v>1725</v>
      </c>
      <c r="E592" s="35" t="s">
        <v>140</v>
      </c>
      <c r="F592" s="36">
        <v>45450.0</v>
      </c>
      <c r="G592" s="37"/>
      <c r="H592" s="39"/>
      <c r="I592" s="35" t="s">
        <v>1726</v>
      </c>
    </row>
    <row r="593" ht="15.75" customHeight="1">
      <c r="A593" s="35" t="s">
        <v>1727</v>
      </c>
      <c r="B593" s="19" t="s">
        <v>61</v>
      </c>
      <c r="C593" s="19" t="s">
        <v>112</v>
      </c>
      <c r="D593" s="35" t="s">
        <v>1728</v>
      </c>
      <c r="E593" s="35" t="s">
        <v>132</v>
      </c>
      <c r="F593" s="36">
        <v>45450.0</v>
      </c>
      <c r="G593" s="37"/>
      <c r="H593" s="39"/>
      <c r="I593" s="35" t="s">
        <v>1729</v>
      </c>
    </row>
    <row r="594" ht="15.75" customHeight="1">
      <c r="A594" s="35" t="s">
        <v>1730</v>
      </c>
      <c r="B594" s="19" t="s">
        <v>56</v>
      </c>
      <c r="C594" s="19" t="s">
        <v>112</v>
      </c>
      <c r="D594" s="35" t="s">
        <v>1731</v>
      </c>
      <c r="E594" s="35" t="s">
        <v>34</v>
      </c>
      <c r="F594" s="36">
        <v>45450.0</v>
      </c>
      <c r="G594" s="37"/>
      <c r="H594" s="39"/>
      <c r="I594" s="35" t="s">
        <v>1732</v>
      </c>
    </row>
    <row r="595" ht="15.75" customHeight="1">
      <c r="A595" s="35" t="s">
        <v>1733</v>
      </c>
      <c r="B595" s="19" t="s">
        <v>1407</v>
      </c>
      <c r="C595" s="19" t="s">
        <v>112</v>
      </c>
      <c r="D595" s="35" t="s">
        <v>1734</v>
      </c>
      <c r="E595" s="35" t="s">
        <v>454</v>
      </c>
      <c r="F595" s="36">
        <v>45448.0</v>
      </c>
      <c r="G595" s="37"/>
      <c r="H595" s="39"/>
      <c r="I595" s="35" t="s">
        <v>1735</v>
      </c>
    </row>
    <row r="596" ht="15.75" customHeight="1">
      <c r="A596" s="35" t="s">
        <v>1736</v>
      </c>
      <c r="B596" s="19" t="s">
        <v>1407</v>
      </c>
      <c r="C596" s="19" t="s">
        <v>112</v>
      </c>
      <c r="D596" s="35" t="s">
        <v>1737</v>
      </c>
      <c r="E596" s="35" t="s">
        <v>324</v>
      </c>
      <c r="F596" s="36">
        <v>45450.0</v>
      </c>
      <c r="G596" s="37"/>
      <c r="H596" s="39"/>
      <c r="I596" s="35" t="s">
        <v>1738</v>
      </c>
    </row>
    <row r="597" ht="15.75" customHeight="1">
      <c r="A597" s="35" t="s">
        <v>1739</v>
      </c>
      <c r="B597" s="19" t="s">
        <v>56</v>
      </c>
      <c r="C597" s="19" t="s">
        <v>112</v>
      </c>
      <c r="D597" s="35" t="s">
        <v>1740</v>
      </c>
      <c r="E597" s="35" t="s">
        <v>1741</v>
      </c>
      <c r="F597" s="36">
        <v>45505.0</v>
      </c>
      <c r="G597" s="37"/>
      <c r="H597" s="39"/>
      <c r="I597" s="35" t="s">
        <v>1742</v>
      </c>
    </row>
    <row r="598" ht="15.75" customHeight="1">
      <c r="A598" s="35" t="s">
        <v>1743</v>
      </c>
      <c r="B598" s="19" t="s">
        <v>56</v>
      </c>
      <c r="C598" s="19" t="s">
        <v>112</v>
      </c>
      <c r="D598" s="35" t="s">
        <v>1603</v>
      </c>
      <c r="E598" s="35" t="s">
        <v>124</v>
      </c>
      <c r="F598" s="36">
        <v>45505.0</v>
      </c>
      <c r="G598" s="37"/>
      <c r="H598" s="39"/>
      <c r="I598" s="35" t="s">
        <v>1744</v>
      </c>
    </row>
    <row r="599" ht="15.75" customHeight="1">
      <c r="A599" s="35" t="s">
        <v>1745</v>
      </c>
      <c r="B599" s="19" t="s">
        <v>27</v>
      </c>
      <c r="C599" s="19" t="s">
        <v>112</v>
      </c>
      <c r="D599" s="35" t="s">
        <v>1746</v>
      </c>
      <c r="E599" s="35" t="s">
        <v>227</v>
      </c>
      <c r="F599" s="36">
        <v>45568.0</v>
      </c>
      <c r="G599" s="37"/>
      <c r="H599" s="39"/>
      <c r="I599" s="35" t="s">
        <v>1747</v>
      </c>
    </row>
    <row r="600" ht="15.75" customHeight="1">
      <c r="A600" s="35" t="s">
        <v>1748</v>
      </c>
      <c r="B600" s="19" t="s">
        <v>1407</v>
      </c>
      <c r="C600" s="19" t="s">
        <v>112</v>
      </c>
      <c r="D600" s="35" t="s">
        <v>1749</v>
      </c>
      <c r="E600" s="35" t="s">
        <v>1750</v>
      </c>
      <c r="F600" s="36">
        <v>45569.0</v>
      </c>
      <c r="G600" s="37"/>
      <c r="H600" s="39"/>
      <c r="I600" s="35" t="s">
        <v>1751</v>
      </c>
    </row>
    <row r="601" ht="15.75" customHeight="1">
      <c r="A601" s="35" t="s">
        <v>1752</v>
      </c>
      <c r="B601" s="19" t="s">
        <v>1407</v>
      </c>
      <c r="C601" s="19" t="s">
        <v>112</v>
      </c>
      <c r="D601" s="35" t="s">
        <v>1591</v>
      </c>
      <c r="E601" s="35" t="s">
        <v>1049</v>
      </c>
      <c r="F601" s="36">
        <v>45569.0</v>
      </c>
      <c r="G601" s="37"/>
      <c r="H601" s="39"/>
      <c r="I601" s="35" t="s">
        <v>1753</v>
      </c>
    </row>
    <row r="602" ht="15.75" customHeight="1">
      <c r="A602" s="35" t="s">
        <v>1754</v>
      </c>
      <c r="B602" s="19" t="s">
        <v>116</v>
      </c>
      <c r="C602" s="19" t="s">
        <v>112</v>
      </c>
      <c r="D602" s="35" t="s">
        <v>1755</v>
      </c>
      <c r="E602" s="35" t="s">
        <v>140</v>
      </c>
      <c r="F602" s="36">
        <v>45568.0</v>
      </c>
      <c r="G602" s="37"/>
      <c r="H602" s="39"/>
      <c r="I602" s="35" t="s">
        <v>1756</v>
      </c>
    </row>
    <row r="603" ht="15.75" customHeight="1">
      <c r="A603" s="35" t="s">
        <v>1757</v>
      </c>
      <c r="B603" s="19" t="s">
        <v>11</v>
      </c>
      <c r="C603" s="19" t="s">
        <v>112</v>
      </c>
      <c r="D603" s="35" t="s">
        <v>1758</v>
      </c>
      <c r="E603" s="35" t="s">
        <v>184</v>
      </c>
      <c r="F603" s="36">
        <v>45638.0</v>
      </c>
      <c r="G603" s="37"/>
      <c r="H603" s="39"/>
      <c r="I603" s="35" t="s">
        <v>1759</v>
      </c>
    </row>
    <row r="604" ht="15.75" customHeight="1">
      <c r="A604" s="35" t="s">
        <v>1760</v>
      </c>
      <c r="B604" s="19" t="s">
        <v>11</v>
      </c>
      <c r="C604" s="19" t="s">
        <v>112</v>
      </c>
      <c r="D604" s="35" t="s">
        <v>1761</v>
      </c>
      <c r="E604" s="35" t="s">
        <v>34</v>
      </c>
      <c r="F604" s="36">
        <v>45694.0</v>
      </c>
      <c r="G604" s="37"/>
      <c r="H604" s="39"/>
      <c r="I604" s="35" t="s">
        <v>1762</v>
      </c>
    </row>
    <row r="605" ht="15.75" customHeight="1">
      <c r="A605" s="35" t="s">
        <v>1763</v>
      </c>
      <c r="B605" s="19" t="s">
        <v>11</v>
      </c>
      <c r="C605" s="19" t="s">
        <v>112</v>
      </c>
      <c r="D605" s="35" t="s">
        <v>1631</v>
      </c>
      <c r="E605" s="35" t="s">
        <v>34</v>
      </c>
      <c r="F605" s="36">
        <v>45694.0</v>
      </c>
      <c r="G605" s="37"/>
      <c r="H605" s="39"/>
      <c r="I605" s="35" t="s">
        <v>1764</v>
      </c>
    </row>
    <row r="606" ht="15.75" customHeight="1">
      <c r="A606" s="35" t="s">
        <v>1765</v>
      </c>
      <c r="B606" s="19" t="s">
        <v>27</v>
      </c>
      <c r="C606" s="19" t="s">
        <v>112</v>
      </c>
      <c r="D606" s="35" t="s">
        <v>1766</v>
      </c>
      <c r="E606" s="35" t="s">
        <v>1767</v>
      </c>
      <c r="F606" s="36">
        <v>45695.0</v>
      </c>
      <c r="G606" s="37"/>
      <c r="H606" s="39"/>
      <c r="I606" s="35" t="s">
        <v>1768</v>
      </c>
    </row>
    <row r="607" ht="15.75" customHeight="1">
      <c r="A607" s="35" t="s">
        <v>1769</v>
      </c>
      <c r="B607" s="19" t="s">
        <v>11</v>
      </c>
      <c r="C607" s="19" t="s">
        <v>112</v>
      </c>
      <c r="D607" s="35" t="s">
        <v>1770</v>
      </c>
      <c r="E607" s="35" t="s">
        <v>38</v>
      </c>
      <c r="F607" s="36">
        <v>45750.0</v>
      </c>
      <c r="G607" s="37"/>
      <c r="H607" s="39"/>
      <c r="I607" s="35" t="s">
        <v>1771</v>
      </c>
    </row>
    <row r="608" ht="15.75" customHeight="1">
      <c r="A608" s="35" t="s">
        <v>1772</v>
      </c>
      <c r="B608" s="19" t="s">
        <v>1407</v>
      </c>
      <c r="C608" s="19" t="s">
        <v>112</v>
      </c>
      <c r="D608" s="35" t="s">
        <v>1773</v>
      </c>
      <c r="E608" s="35" t="s">
        <v>58</v>
      </c>
      <c r="F608" s="36">
        <v>45750.0</v>
      </c>
      <c r="G608" s="37"/>
      <c r="H608" s="39"/>
      <c r="I608" s="35" t="s">
        <v>1774</v>
      </c>
    </row>
    <row r="609" ht="15.75" customHeight="1">
      <c r="A609" s="35" t="s">
        <v>1775</v>
      </c>
      <c r="B609" s="19" t="s">
        <v>56</v>
      </c>
      <c r="C609" s="19" t="s">
        <v>112</v>
      </c>
      <c r="D609" s="35" t="s">
        <v>1776</v>
      </c>
      <c r="E609" s="35" t="s">
        <v>398</v>
      </c>
      <c r="F609" s="36">
        <v>45749.0</v>
      </c>
      <c r="G609" s="37"/>
      <c r="H609" s="39"/>
      <c r="I609" s="35" t="s">
        <v>1777</v>
      </c>
    </row>
    <row r="610" ht="15.75" customHeight="1">
      <c r="A610" s="35" t="s">
        <v>1778</v>
      </c>
      <c r="B610" s="19" t="s">
        <v>1407</v>
      </c>
      <c r="C610" s="19" t="s">
        <v>112</v>
      </c>
      <c r="D610" s="35" t="s">
        <v>1779</v>
      </c>
      <c r="E610" s="35" t="s">
        <v>227</v>
      </c>
      <c r="F610" s="36">
        <v>45754.0</v>
      </c>
      <c r="G610" s="37"/>
      <c r="H610" s="39"/>
      <c r="I610" s="35" t="s">
        <v>1780</v>
      </c>
    </row>
    <row r="611" ht="15.75" customHeight="1">
      <c r="A611" s="14"/>
      <c r="B611" s="14"/>
      <c r="C611" s="14"/>
      <c r="D611" s="49"/>
      <c r="E611" s="49"/>
      <c r="F611" s="50"/>
      <c r="G611" s="50"/>
      <c r="H611" s="51"/>
      <c r="I611" s="14"/>
    </row>
    <row r="612" ht="15.75" customHeight="1">
      <c r="A612" s="52" t="s">
        <v>1781</v>
      </c>
      <c r="B612" s="14"/>
      <c r="C612" s="14"/>
      <c r="D612" s="49"/>
      <c r="E612" s="49"/>
      <c r="F612" s="50"/>
      <c r="G612" s="50"/>
      <c r="H612" s="51"/>
      <c r="I612" s="14"/>
    </row>
    <row r="613" ht="15.75" customHeight="1">
      <c r="A613" s="53">
        <f>COUNTIF(C:C, "*complete*")</f>
        <v>577</v>
      </c>
      <c r="B613" s="14"/>
      <c r="C613" s="14"/>
      <c r="D613" s="49"/>
      <c r="E613" s="49"/>
      <c r="F613" s="50"/>
      <c r="G613" s="50"/>
      <c r="H613" s="51"/>
      <c r="I613" s="14"/>
    </row>
    <row r="614" ht="15.75" customHeight="1">
      <c r="A614" s="14"/>
      <c r="B614" s="14"/>
      <c r="C614" s="14"/>
      <c r="D614" s="49"/>
      <c r="E614" s="49"/>
      <c r="F614" s="50"/>
      <c r="G614" s="50"/>
      <c r="H614" s="51"/>
      <c r="I614" s="14"/>
    </row>
    <row r="615" ht="15.75" customHeight="1">
      <c r="A615" s="52" t="s">
        <v>1782</v>
      </c>
      <c r="B615" s="14"/>
      <c r="C615" s="14"/>
      <c r="D615" s="49"/>
      <c r="E615" s="49"/>
      <c r="F615" s="50"/>
      <c r="G615" s="50"/>
      <c r="H615" s="51"/>
      <c r="I615" s="14"/>
    </row>
    <row r="616" ht="15.75" customHeight="1">
      <c r="A616" s="53">
        <f>COUNTBLANK(C2:C610)</f>
        <v>0</v>
      </c>
      <c r="B616" s="14"/>
      <c r="C616" s="14"/>
      <c r="D616" s="49"/>
      <c r="E616" s="49"/>
      <c r="F616" s="50"/>
      <c r="G616" s="50"/>
      <c r="H616" s="51"/>
      <c r="I616" s="14"/>
    </row>
    <row r="617" ht="15.75" customHeight="1">
      <c r="A617" s="14"/>
      <c r="B617" s="14"/>
      <c r="C617" s="14"/>
      <c r="D617" s="49"/>
      <c r="E617" s="49"/>
      <c r="F617" s="50"/>
      <c r="G617" s="50"/>
      <c r="H617" s="51"/>
      <c r="I617" s="14"/>
    </row>
    <row r="618" ht="15.75" customHeight="1">
      <c r="A618" s="14"/>
      <c r="B618" s="14"/>
      <c r="C618" s="14"/>
      <c r="D618" s="49"/>
      <c r="E618" s="49"/>
      <c r="F618" s="50"/>
      <c r="G618" s="50"/>
      <c r="H618" s="51"/>
      <c r="I618" s="14"/>
    </row>
    <row r="619" ht="15.75" customHeight="1">
      <c r="A619" s="14"/>
      <c r="B619" s="14"/>
      <c r="C619" s="14"/>
      <c r="D619" s="49"/>
      <c r="E619" s="49"/>
      <c r="F619" s="50"/>
      <c r="G619" s="50"/>
      <c r="H619" s="51"/>
      <c r="I619" s="14"/>
    </row>
    <row r="620" ht="15.75" customHeight="1">
      <c r="A620" s="14"/>
      <c r="B620" s="14"/>
      <c r="C620" s="14"/>
      <c r="D620" s="49"/>
      <c r="E620" s="49"/>
      <c r="F620" s="50"/>
      <c r="G620" s="50"/>
      <c r="H620" s="51"/>
      <c r="I620" s="14"/>
    </row>
    <row r="621" ht="15.75" customHeight="1">
      <c r="A621" s="14"/>
      <c r="B621" s="14"/>
      <c r="C621" s="14"/>
      <c r="D621" s="49"/>
      <c r="E621" s="49"/>
      <c r="F621" s="50"/>
      <c r="G621" s="50"/>
      <c r="H621" s="51"/>
      <c r="I621" s="14"/>
    </row>
    <row r="622" ht="15.75" customHeight="1">
      <c r="A622" s="14"/>
      <c r="B622" s="14"/>
      <c r="C622" s="14"/>
      <c r="D622" s="49"/>
      <c r="E622" s="49"/>
      <c r="F622" s="50"/>
      <c r="G622" s="50"/>
      <c r="H622" s="51"/>
      <c r="I622" s="14"/>
    </row>
    <row r="623" ht="15.75" customHeight="1">
      <c r="A623" s="14"/>
      <c r="B623" s="14"/>
      <c r="C623" s="14"/>
      <c r="D623" s="49"/>
      <c r="E623" s="49"/>
      <c r="F623" s="50"/>
      <c r="G623" s="50"/>
      <c r="H623" s="51"/>
      <c r="I623" s="14"/>
    </row>
    <row r="624" ht="15.75" customHeight="1">
      <c r="A624" s="14"/>
      <c r="B624" s="14"/>
      <c r="C624" s="14"/>
      <c r="D624" s="49"/>
      <c r="E624" s="49"/>
      <c r="F624" s="50"/>
      <c r="G624" s="50"/>
      <c r="H624" s="51"/>
      <c r="I624" s="14"/>
    </row>
    <row r="625" ht="15.75" customHeight="1">
      <c r="A625" s="14"/>
      <c r="B625" s="14"/>
      <c r="C625" s="14"/>
      <c r="D625" s="49"/>
      <c r="E625" s="49"/>
      <c r="F625" s="50"/>
      <c r="G625" s="50"/>
      <c r="H625" s="51"/>
      <c r="I625" s="14"/>
    </row>
    <row r="626" ht="15.75" customHeight="1">
      <c r="A626" s="14"/>
      <c r="B626" s="14"/>
      <c r="C626" s="14"/>
      <c r="D626" s="49"/>
      <c r="E626" s="49"/>
      <c r="F626" s="50"/>
      <c r="G626" s="50"/>
      <c r="H626" s="51"/>
      <c r="I626" s="14"/>
    </row>
    <row r="627" ht="15.75" customHeight="1">
      <c r="A627" s="14"/>
      <c r="B627" s="14"/>
      <c r="C627" s="14"/>
      <c r="D627" s="49"/>
      <c r="E627" s="49"/>
      <c r="F627" s="50"/>
      <c r="G627" s="50"/>
      <c r="H627" s="51"/>
      <c r="I627" s="14"/>
    </row>
    <row r="628" ht="15.75" customHeight="1">
      <c r="A628" s="14"/>
      <c r="B628" s="14"/>
      <c r="C628" s="14"/>
      <c r="D628" s="49"/>
      <c r="E628" s="49"/>
      <c r="F628" s="50"/>
      <c r="G628" s="50"/>
      <c r="H628" s="51"/>
      <c r="I628" s="14"/>
    </row>
    <row r="629" ht="15.75" customHeight="1">
      <c r="A629" s="14"/>
      <c r="B629" s="14"/>
      <c r="C629" s="14"/>
      <c r="D629" s="49"/>
      <c r="E629" s="49"/>
      <c r="F629" s="50"/>
      <c r="G629" s="50"/>
      <c r="H629" s="51"/>
      <c r="I629" s="14"/>
    </row>
    <row r="630" ht="15.75" customHeight="1">
      <c r="A630" s="14"/>
      <c r="B630" s="14"/>
      <c r="C630" s="14"/>
      <c r="D630" s="49"/>
      <c r="E630" s="49"/>
      <c r="F630" s="50"/>
      <c r="G630" s="50"/>
      <c r="H630" s="51"/>
      <c r="I630" s="14"/>
    </row>
    <row r="631" ht="15.75" customHeight="1">
      <c r="A631" s="14"/>
      <c r="B631" s="14"/>
      <c r="C631" s="14"/>
      <c r="D631" s="49"/>
      <c r="E631" s="49"/>
      <c r="F631" s="50"/>
      <c r="G631" s="50"/>
      <c r="H631" s="51"/>
      <c r="I631" s="14"/>
    </row>
    <row r="632" ht="15.75" customHeight="1">
      <c r="A632" s="14"/>
      <c r="B632" s="14"/>
      <c r="C632" s="14"/>
      <c r="D632" s="49"/>
      <c r="E632" s="49"/>
      <c r="F632" s="50"/>
      <c r="G632" s="50"/>
      <c r="H632" s="51"/>
      <c r="I632" s="14"/>
    </row>
    <row r="633" ht="15.75" customHeight="1">
      <c r="A633" s="14"/>
      <c r="B633" s="14"/>
      <c r="C633" s="14"/>
      <c r="D633" s="49"/>
      <c r="E633" s="49"/>
      <c r="F633" s="50"/>
      <c r="G633" s="50"/>
      <c r="H633" s="51"/>
      <c r="I633" s="14"/>
    </row>
    <row r="634" ht="15.75" customHeight="1">
      <c r="A634" s="14"/>
      <c r="B634" s="14"/>
      <c r="C634" s="14"/>
      <c r="D634" s="49"/>
      <c r="E634" s="49"/>
      <c r="F634" s="50"/>
      <c r="G634" s="50"/>
      <c r="H634" s="51"/>
      <c r="I634" s="14"/>
    </row>
    <row r="635" ht="15.75" customHeight="1">
      <c r="A635" s="14"/>
      <c r="B635" s="14"/>
      <c r="C635" s="14"/>
      <c r="D635" s="49"/>
      <c r="E635" s="49"/>
      <c r="F635" s="50"/>
      <c r="G635" s="50"/>
      <c r="H635" s="51"/>
      <c r="I635" s="14"/>
    </row>
    <row r="636" ht="15.75" customHeight="1">
      <c r="A636" s="14"/>
      <c r="B636" s="14"/>
      <c r="C636" s="14"/>
      <c r="D636" s="49"/>
      <c r="E636" s="49"/>
      <c r="F636" s="50"/>
      <c r="G636" s="50"/>
      <c r="H636" s="51"/>
      <c r="I636" s="14"/>
    </row>
    <row r="637" ht="15.75" customHeight="1">
      <c r="A637" s="14"/>
      <c r="B637" s="14"/>
      <c r="C637" s="14"/>
      <c r="D637" s="49"/>
      <c r="E637" s="49"/>
      <c r="F637" s="50"/>
      <c r="G637" s="50"/>
      <c r="H637" s="51"/>
      <c r="I637" s="14"/>
    </row>
    <row r="638" ht="15.75" customHeight="1">
      <c r="A638" s="14"/>
      <c r="B638" s="14"/>
      <c r="C638" s="14"/>
      <c r="D638" s="49"/>
      <c r="E638" s="49"/>
      <c r="F638" s="50"/>
      <c r="G638" s="50"/>
      <c r="H638" s="51"/>
      <c r="I638" s="14"/>
    </row>
    <row r="639" ht="15.75" customHeight="1">
      <c r="A639" s="14"/>
      <c r="B639" s="14"/>
      <c r="C639" s="14"/>
      <c r="D639" s="49"/>
      <c r="E639" s="49"/>
      <c r="F639" s="50"/>
      <c r="G639" s="50"/>
      <c r="H639" s="51"/>
      <c r="I639" s="14"/>
    </row>
    <row r="640" ht="15.75" customHeight="1">
      <c r="A640" s="14"/>
      <c r="B640" s="14"/>
      <c r="C640" s="14"/>
      <c r="D640" s="49"/>
      <c r="E640" s="49"/>
      <c r="F640" s="50"/>
      <c r="G640" s="50"/>
      <c r="H640" s="51"/>
      <c r="I640" s="14"/>
    </row>
    <row r="641" ht="15.75" customHeight="1">
      <c r="A641" s="14"/>
      <c r="B641" s="14"/>
      <c r="C641" s="14"/>
      <c r="D641" s="49"/>
      <c r="E641" s="49"/>
      <c r="F641" s="50"/>
      <c r="G641" s="50"/>
      <c r="H641" s="51"/>
      <c r="I641" s="14"/>
    </row>
    <row r="642" ht="15.75" customHeight="1">
      <c r="A642" s="14"/>
      <c r="B642" s="14"/>
      <c r="C642" s="14"/>
      <c r="D642" s="49"/>
      <c r="E642" s="49"/>
      <c r="F642" s="50"/>
      <c r="G642" s="50"/>
      <c r="H642" s="51"/>
      <c r="I642" s="14"/>
    </row>
    <row r="643" ht="15.75" customHeight="1">
      <c r="A643" s="14"/>
      <c r="B643" s="14"/>
      <c r="C643" s="14"/>
      <c r="D643" s="49"/>
      <c r="E643" s="49"/>
      <c r="F643" s="50"/>
      <c r="G643" s="50"/>
      <c r="H643" s="51"/>
      <c r="I643" s="14"/>
    </row>
    <row r="644" ht="15.75" customHeight="1">
      <c r="A644" s="14"/>
      <c r="B644" s="14"/>
      <c r="C644" s="14"/>
      <c r="D644" s="49"/>
      <c r="E644" s="49"/>
      <c r="F644" s="50"/>
      <c r="G644" s="50"/>
      <c r="H644" s="51"/>
      <c r="I644" s="14"/>
    </row>
    <row r="645" ht="15.75" customHeight="1">
      <c r="A645" s="14"/>
      <c r="B645" s="14"/>
      <c r="C645" s="14"/>
      <c r="D645" s="49"/>
      <c r="E645" s="49"/>
      <c r="F645" s="50"/>
      <c r="G645" s="50"/>
      <c r="H645" s="51"/>
      <c r="I645" s="14"/>
    </row>
    <row r="646" ht="15.75" customHeight="1">
      <c r="A646" s="14"/>
      <c r="B646" s="14"/>
      <c r="C646" s="14"/>
      <c r="D646" s="49"/>
      <c r="E646" s="49"/>
      <c r="F646" s="50"/>
      <c r="G646" s="50"/>
      <c r="H646" s="51"/>
      <c r="I646" s="14"/>
    </row>
    <row r="647" ht="15.75" customHeight="1">
      <c r="A647" s="14"/>
      <c r="B647" s="14"/>
      <c r="C647" s="14"/>
      <c r="D647" s="49"/>
      <c r="E647" s="49"/>
      <c r="F647" s="50"/>
      <c r="G647" s="50"/>
      <c r="H647" s="51"/>
      <c r="I647" s="14"/>
    </row>
    <row r="648" ht="15.75" customHeight="1">
      <c r="A648" s="14"/>
      <c r="B648" s="14"/>
      <c r="C648" s="14"/>
      <c r="D648" s="49"/>
      <c r="E648" s="49"/>
      <c r="F648" s="50"/>
      <c r="G648" s="50"/>
      <c r="H648" s="51"/>
      <c r="I648" s="14"/>
    </row>
    <row r="649" ht="15.75" customHeight="1">
      <c r="A649" s="14"/>
      <c r="B649" s="14"/>
      <c r="C649" s="14"/>
      <c r="D649" s="49"/>
      <c r="E649" s="49"/>
      <c r="F649" s="50"/>
      <c r="G649" s="50"/>
      <c r="H649" s="51"/>
      <c r="I649" s="14"/>
    </row>
    <row r="650" ht="15.75" customHeight="1">
      <c r="A650" s="14"/>
      <c r="B650" s="14"/>
      <c r="C650" s="14"/>
      <c r="D650" s="49"/>
      <c r="E650" s="49"/>
      <c r="F650" s="50"/>
      <c r="G650" s="50"/>
      <c r="H650" s="51"/>
      <c r="I650" s="14"/>
    </row>
    <row r="651" ht="15.75" customHeight="1">
      <c r="A651" s="14"/>
      <c r="B651" s="14"/>
      <c r="C651" s="14"/>
      <c r="D651" s="49"/>
      <c r="E651" s="49"/>
      <c r="F651" s="50"/>
      <c r="G651" s="50"/>
      <c r="H651" s="51"/>
      <c r="I651" s="14"/>
    </row>
    <row r="652" ht="15.75" customHeight="1">
      <c r="A652" s="14"/>
      <c r="B652" s="14"/>
      <c r="C652" s="14"/>
      <c r="D652" s="49"/>
      <c r="E652" s="49"/>
      <c r="F652" s="50"/>
      <c r="G652" s="50"/>
      <c r="H652" s="51"/>
      <c r="I652" s="14"/>
    </row>
    <row r="653" ht="15.75" customHeight="1">
      <c r="A653" s="14"/>
      <c r="B653" s="14"/>
      <c r="C653" s="14"/>
      <c r="D653" s="49"/>
      <c r="E653" s="49"/>
      <c r="F653" s="50"/>
      <c r="G653" s="50"/>
      <c r="H653" s="51"/>
      <c r="I653" s="14"/>
    </row>
    <row r="654" ht="15.75" customHeight="1">
      <c r="A654" s="14"/>
      <c r="B654" s="14"/>
      <c r="C654" s="14"/>
      <c r="D654" s="49"/>
      <c r="E654" s="49"/>
      <c r="F654" s="50"/>
      <c r="G654" s="50"/>
      <c r="H654" s="51"/>
      <c r="I654" s="14"/>
    </row>
    <row r="655" ht="15.75" customHeight="1">
      <c r="A655" s="14"/>
      <c r="B655" s="14"/>
      <c r="C655" s="14"/>
      <c r="D655" s="49"/>
      <c r="E655" s="49"/>
      <c r="F655" s="50"/>
      <c r="G655" s="50"/>
      <c r="H655" s="51"/>
      <c r="I655" s="14"/>
    </row>
    <row r="656" ht="15.75" customHeight="1">
      <c r="A656" s="14"/>
      <c r="B656" s="14"/>
      <c r="C656" s="14"/>
      <c r="D656" s="49"/>
      <c r="E656" s="49"/>
      <c r="F656" s="50"/>
      <c r="G656" s="50"/>
      <c r="H656" s="51"/>
      <c r="I656" s="14"/>
    </row>
    <row r="657" ht="15.75" customHeight="1">
      <c r="A657" s="14"/>
      <c r="B657" s="14"/>
      <c r="C657" s="14"/>
      <c r="D657" s="49"/>
      <c r="E657" s="49"/>
      <c r="F657" s="50"/>
      <c r="G657" s="50"/>
      <c r="H657" s="51"/>
      <c r="I657" s="14"/>
    </row>
    <row r="658" ht="15.75" customHeight="1">
      <c r="A658" s="14"/>
      <c r="B658" s="14"/>
      <c r="C658" s="14"/>
      <c r="D658" s="49"/>
      <c r="E658" s="49"/>
      <c r="F658" s="50"/>
      <c r="G658" s="50"/>
      <c r="H658" s="51"/>
      <c r="I658" s="14"/>
    </row>
    <row r="659" ht="15.75" customHeight="1">
      <c r="A659" s="14"/>
      <c r="B659" s="14"/>
      <c r="C659" s="14"/>
      <c r="D659" s="49"/>
      <c r="E659" s="49"/>
      <c r="F659" s="50"/>
      <c r="G659" s="50"/>
      <c r="H659" s="51"/>
      <c r="I659" s="14"/>
    </row>
    <row r="660" ht="15.75" customHeight="1">
      <c r="A660" s="14"/>
      <c r="B660" s="14"/>
      <c r="C660" s="14"/>
      <c r="D660" s="49"/>
      <c r="E660" s="49"/>
      <c r="F660" s="50"/>
      <c r="G660" s="50"/>
      <c r="H660" s="51"/>
      <c r="I660" s="14"/>
    </row>
    <row r="661" ht="15.75" customHeight="1">
      <c r="A661" s="14"/>
      <c r="B661" s="14"/>
      <c r="C661" s="14"/>
      <c r="D661" s="49"/>
      <c r="E661" s="49"/>
      <c r="F661" s="50"/>
      <c r="G661" s="50"/>
      <c r="H661" s="51"/>
      <c r="I661" s="14"/>
    </row>
    <row r="662" ht="15.75" customHeight="1">
      <c r="A662" s="14"/>
      <c r="B662" s="14"/>
      <c r="C662" s="14"/>
      <c r="D662" s="49"/>
      <c r="E662" s="49"/>
      <c r="F662" s="50"/>
      <c r="G662" s="50"/>
      <c r="H662" s="51"/>
      <c r="I662" s="14"/>
    </row>
    <row r="663" ht="15.75" customHeight="1">
      <c r="A663" s="14"/>
      <c r="B663" s="14"/>
      <c r="C663" s="14"/>
      <c r="D663" s="49"/>
      <c r="E663" s="49"/>
      <c r="F663" s="50"/>
      <c r="G663" s="50"/>
      <c r="H663" s="51"/>
      <c r="I663" s="14"/>
    </row>
    <row r="664" ht="15.75" customHeight="1">
      <c r="A664" s="14"/>
      <c r="B664" s="14"/>
      <c r="C664" s="14"/>
      <c r="D664" s="49"/>
      <c r="E664" s="49"/>
      <c r="F664" s="50"/>
      <c r="G664" s="50"/>
      <c r="H664" s="51"/>
      <c r="I664" s="14"/>
    </row>
    <row r="665" ht="15.75" customHeight="1">
      <c r="A665" s="14"/>
      <c r="B665" s="14"/>
      <c r="C665" s="14"/>
      <c r="D665" s="49"/>
      <c r="E665" s="49"/>
      <c r="F665" s="50"/>
      <c r="G665" s="50"/>
      <c r="H665" s="51"/>
      <c r="I665" s="14"/>
    </row>
    <row r="666" ht="15.75" customHeight="1">
      <c r="A666" s="14"/>
      <c r="B666" s="14"/>
      <c r="C666" s="14"/>
      <c r="D666" s="49"/>
      <c r="E666" s="49"/>
      <c r="F666" s="50"/>
      <c r="G666" s="50"/>
      <c r="H666" s="51"/>
      <c r="I666" s="14"/>
    </row>
    <row r="667" ht="15.75" customHeight="1">
      <c r="A667" s="14"/>
      <c r="B667" s="14"/>
      <c r="C667" s="14"/>
      <c r="D667" s="49"/>
      <c r="E667" s="49"/>
      <c r="F667" s="50"/>
      <c r="G667" s="50"/>
      <c r="H667" s="51"/>
      <c r="I667" s="14"/>
    </row>
    <row r="668" ht="15.75" customHeight="1">
      <c r="A668" s="14"/>
      <c r="B668" s="14"/>
      <c r="C668" s="14"/>
      <c r="D668" s="49"/>
      <c r="E668" s="49"/>
      <c r="F668" s="50"/>
      <c r="G668" s="50"/>
      <c r="H668" s="51"/>
      <c r="I668" s="14"/>
    </row>
    <row r="669" ht="15.75" customHeight="1">
      <c r="A669" s="14"/>
      <c r="B669" s="14"/>
      <c r="C669" s="14"/>
      <c r="D669" s="49"/>
      <c r="E669" s="49"/>
      <c r="F669" s="50"/>
      <c r="G669" s="50"/>
      <c r="H669" s="51"/>
      <c r="I669" s="14"/>
    </row>
    <row r="670" ht="15.75" customHeight="1">
      <c r="A670" s="14"/>
      <c r="B670" s="14"/>
      <c r="C670" s="14"/>
      <c r="D670" s="49"/>
      <c r="E670" s="49"/>
      <c r="F670" s="50"/>
      <c r="G670" s="50"/>
      <c r="H670" s="51"/>
      <c r="I670" s="14"/>
    </row>
    <row r="671" ht="15.75" customHeight="1">
      <c r="A671" s="14"/>
      <c r="B671" s="14"/>
      <c r="C671" s="14"/>
      <c r="D671" s="49"/>
      <c r="E671" s="49"/>
      <c r="F671" s="50"/>
      <c r="G671" s="50"/>
      <c r="H671" s="51"/>
      <c r="I671" s="14"/>
    </row>
    <row r="672" ht="15.75" customHeight="1">
      <c r="A672" s="14"/>
      <c r="B672" s="14"/>
      <c r="C672" s="14"/>
      <c r="D672" s="49"/>
      <c r="E672" s="49"/>
      <c r="F672" s="50"/>
      <c r="G672" s="50"/>
      <c r="H672" s="51"/>
      <c r="I672" s="14"/>
    </row>
    <row r="673" ht="15.75" customHeight="1">
      <c r="A673" s="14"/>
      <c r="B673" s="14"/>
      <c r="C673" s="14"/>
      <c r="D673" s="49"/>
      <c r="E673" s="49"/>
      <c r="F673" s="50"/>
      <c r="G673" s="50"/>
      <c r="H673" s="51"/>
      <c r="I673" s="14"/>
    </row>
    <row r="674" ht="15.75" customHeight="1">
      <c r="A674" s="14"/>
      <c r="B674" s="14"/>
      <c r="C674" s="14"/>
      <c r="D674" s="49"/>
      <c r="E674" s="49"/>
      <c r="F674" s="50"/>
      <c r="G674" s="50"/>
      <c r="H674" s="51"/>
      <c r="I674" s="14"/>
    </row>
    <row r="675" ht="15.75" customHeight="1">
      <c r="A675" s="14"/>
      <c r="B675" s="14"/>
      <c r="C675" s="14"/>
      <c r="D675" s="49"/>
      <c r="E675" s="49"/>
      <c r="F675" s="50"/>
      <c r="G675" s="50"/>
      <c r="H675" s="51"/>
      <c r="I675" s="14"/>
    </row>
    <row r="676" ht="15.75" customHeight="1">
      <c r="A676" s="14"/>
      <c r="B676" s="14"/>
      <c r="C676" s="14"/>
      <c r="D676" s="49"/>
      <c r="E676" s="49"/>
      <c r="F676" s="50"/>
      <c r="G676" s="50"/>
      <c r="H676" s="51"/>
      <c r="I676" s="14"/>
    </row>
    <row r="677" ht="15.75" customHeight="1">
      <c r="A677" s="14"/>
      <c r="B677" s="14"/>
      <c r="C677" s="14"/>
      <c r="D677" s="49"/>
      <c r="E677" s="49"/>
      <c r="F677" s="50"/>
      <c r="G677" s="50"/>
      <c r="H677" s="51"/>
      <c r="I677" s="14"/>
    </row>
    <row r="678" ht="15.75" customHeight="1">
      <c r="A678" s="14"/>
      <c r="B678" s="14"/>
      <c r="C678" s="14"/>
      <c r="D678" s="49"/>
      <c r="E678" s="49"/>
      <c r="F678" s="50"/>
      <c r="G678" s="50"/>
      <c r="H678" s="51"/>
      <c r="I678" s="14"/>
    </row>
    <row r="679" ht="15.75" customHeight="1">
      <c r="A679" s="14"/>
      <c r="B679" s="14"/>
      <c r="C679" s="14"/>
      <c r="D679" s="49"/>
      <c r="E679" s="49"/>
      <c r="F679" s="50"/>
      <c r="G679" s="50"/>
      <c r="H679" s="51"/>
      <c r="I679" s="14"/>
    </row>
    <row r="680" ht="15.75" customHeight="1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  <c r="AA680" s="14"/>
      <c r="AB680" s="14"/>
      <c r="AC680" s="14"/>
    </row>
    <row r="681" ht="15.75" customHeight="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  <c r="AA681" s="14"/>
      <c r="AB681" s="14"/>
      <c r="AC681" s="14"/>
    </row>
    <row r="682" ht="15.75" customHeight="1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  <c r="AA682" s="14"/>
      <c r="AB682" s="14"/>
      <c r="AC682" s="14"/>
    </row>
    <row r="683" ht="15.75" customHeight="1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  <c r="AA683" s="14"/>
      <c r="AB683" s="14"/>
      <c r="AC683" s="14"/>
    </row>
    <row r="684" ht="15.75" customHeight="1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  <c r="AA684" s="14"/>
      <c r="AB684" s="14"/>
      <c r="AC684" s="14"/>
    </row>
    <row r="685" ht="15.75" customHeight="1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  <c r="AA685" s="14"/>
      <c r="AB685" s="14"/>
      <c r="AC685" s="14"/>
    </row>
    <row r="686" ht="15.75" customHeight="1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  <c r="AA686" s="14"/>
      <c r="AB686" s="14"/>
      <c r="AC686" s="14"/>
    </row>
    <row r="687" ht="15.75" customHeight="1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  <c r="AA687" s="14"/>
      <c r="AB687" s="14"/>
      <c r="AC687" s="14"/>
    </row>
    <row r="688" ht="15.75" customHeight="1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  <c r="AA688" s="14"/>
      <c r="AB688" s="14"/>
      <c r="AC688" s="14"/>
    </row>
    <row r="689" ht="15.75" customHeight="1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  <c r="AA689" s="14"/>
      <c r="AB689" s="14"/>
      <c r="AC689" s="14"/>
    </row>
    <row r="690" ht="15.75" customHeight="1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  <c r="AA690" s="14"/>
      <c r="AB690" s="14"/>
      <c r="AC690" s="14"/>
    </row>
    <row r="691" ht="15.75" customHeight="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  <c r="AA691" s="14"/>
      <c r="AB691" s="14"/>
      <c r="AC691" s="14"/>
    </row>
    <row r="692" ht="15.75" customHeight="1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  <c r="AA692" s="14"/>
      <c r="AB692" s="14"/>
      <c r="AC692" s="14"/>
    </row>
    <row r="693" ht="15.75" customHeight="1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  <c r="AB693" s="14"/>
      <c r="AC693" s="14"/>
    </row>
    <row r="694" ht="15.75" customHeight="1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  <c r="AA694" s="14"/>
      <c r="AB694" s="14"/>
      <c r="AC694" s="14"/>
    </row>
    <row r="695" ht="15.75" customHeight="1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  <c r="AA695" s="14"/>
      <c r="AB695" s="14"/>
      <c r="AC695" s="14"/>
    </row>
    <row r="696" ht="15.75" customHeight="1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  <c r="AA696" s="14"/>
      <c r="AB696" s="14"/>
      <c r="AC696" s="14"/>
    </row>
    <row r="697" ht="15.75" customHeight="1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  <c r="AA697" s="14"/>
      <c r="AB697" s="14"/>
      <c r="AC697" s="14"/>
    </row>
    <row r="698" ht="15.75" customHeight="1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  <c r="AA698" s="14"/>
      <c r="AB698" s="14"/>
      <c r="AC698" s="14"/>
    </row>
    <row r="699" ht="15.75" customHeight="1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  <c r="AA699" s="14"/>
      <c r="AB699" s="14"/>
      <c r="AC699" s="14"/>
    </row>
    <row r="700" ht="15.75" customHeight="1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  <c r="AA700" s="14"/>
      <c r="AB700" s="14"/>
      <c r="AC700" s="14"/>
    </row>
    <row r="701" ht="15.75" customHeight="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  <c r="AA701" s="14"/>
      <c r="AB701" s="14"/>
      <c r="AC701" s="14"/>
    </row>
    <row r="702" ht="15.75" customHeight="1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  <c r="AA702" s="14"/>
      <c r="AB702" s="14"/>
      <c r="AC702" s="14"/>
    </row>
    <row r="703" ht="15.75" customHeight="1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  <c r="AA703" s="14"/>
      <c r="AB703" s="14"/>
      <c r="AC703" s="14"/>
    </row>
    <row r="704" ht="15.75" customHeight="1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  <c r="AA704" s="14"/>
      <c r="AB704" s="14"/>
      <c r="AC704" s="14"/>
    </row>
    <row r="705" ht="15.75" customHeight="1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  <c r="AA705" s="14"/>
      <c r="AB705" s="14"/>
      <c r="AC705" s="14"/>
    </row>
    <row r="706" ht="15.75" customHeight="1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  <c r="AA706" s="14"/>
      <c r="AB706" s="14"/>
      <c r="AC706" s="14"/>
    </row>
    <row r="707" ht="15.75" customHeight="1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  <c r="AA707" s="14"/>
      <c r="AB707" s="14"/>
      <c r="AC707" s="14"/>
    </row>
    <row r="708" ht="15.75" customHeight="1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  <c r="AA708" s="14"/>
      <c r="AB708" s="14"/>
      <c r="AC708" s="14"/>
    </row>
    <row r="709" ht="15.75" customHeight="1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  <c r="AA709" s="14"/>
      <c r="AB709" s="14"/>
      <c r="AC709" s="14"/>
    </row>
    <row r="710" ht="15.75" customHeight="1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  <c r="AA710" s="14"/>
      <c r="AB710" s="14"/>
      <c r="AC710" s="14"/>
    </row>
    <row r="711" ht="15.75" customHeight="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  <c r="AA711" s="14"/>
      <c r="AB711" s="14"/>
      <c r="AC711" s="14"/>
    </row>
    <row r="712" ht="15.75" customHeight="1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  <c r="AA712" s="14"/>
      <c r="AB712" s="14"/>
      <c r="AC712" s="14"/>
    </row>
    <row r="713" ht="15.75" customHeight="1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  <c r="AA713" s="14"/>
      <c r="AB713" s="14"/>
      <c r="AC713" s="14"/>
    </row>
    <row r="714" ht="15.75" customHeight="1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  <c r="AA714" s="14"/>
      <c r="AB714" s="14"/>
      <c r="AC714" s="14"/>
    </row>
    <row r="715" ht="15.75" customHeight="1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  <c r="AA715" s="14"/>
      <c r="AB715" s="14"/>
      <c r="AC715" s="14"/>
    </row>
    <row r="716" ht="15.75" customHeight="1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  <c r="AA716" s="14"/>
      <c r="AB716" s="14"/>
      <c r="AC716" s="14"/>
    </row>
    <row r="717" ht="15.75" customHeight="1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  <c r="AA717" s="14"/>
      <c r="AB717" s="14"/>
      <c r="AC717" s="14"/>
    </row>
    <row r="718" ht="15.75" customHeight="1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  <c r="AA718" s="14"/>
      <c r="AB718" s="14"/>
      <c r="AC718" s="14"/>
    </row>
    <row r="719" ht="15.75" customHeight="1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  <c r="AA719" s="14"/>
      <c r="AB719" s="14"/>
      <c r="AC719" s="14"/>
    </row>
    <row r="720" ht="15.75" customHeight="1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  <c r="AA720" s="14"/>
      <c r="AB720" s="14"/>
      <c r="AC720" s="14"/>
    </row>
    <row r="721" ht="15.75" customHeight="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  <c r="AB721" s="14"/>
      <c r="AC721" s="14"/>
    </row>
    <row r="722" ht="15.75" customHeight="1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  <c r="AA722" s="14"/>
      <c r="AB722" s="14"/>
      <c r="AC722" s="14"/>
    </row>
    <row r="723" ht="15.75" customHeight="1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  <c r="AA723" s="14"/>
      <c r="AB723" s="14"/>
      <c r="AC723" s="14"/>
    </row>
    <row r="724" ht="15.75" customHeight="1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  <c r="AA724" s="14"/>
      <c r="AB724" s="14"/>
      <c r="AC724" s="14"/>
    </row>
    <row r="725" ht="15.75" customHeight="1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  <c r="AA725" s="14"/>
      <c r="AB725" s="14"/>
      <c r="AC725" s="14"/>
    </row>
    <row r="726" ht="15.75" customHeight="1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  <c r="AA726" s="14"/>
      <c r="AB726" s="14"/>
      <c r="AC726" s="14"/>
    </row>
    <row r="727" ht="15.75" customHeight="1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  <c r="AA727" s="14"/>
      <c r="AB727" s="14"/>
      <c r="AC727" s="14"/>
    </row>
    <row r="728" ht="15.75" customHeight="1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  <c r="AA728" s="14"/>
      <c r="AB728" s="14"/>
      <c r="AC728" s="14"/>
    </row>
    <row r="729" ht="15.75" customHeight="1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  <c r="AA729" s="14"/>
      <c r="AB729" s="14"/>
      <c r="AC729" s="14"/>
    </row>
    <row r="730" ht="15.75" customHeight="1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  <c r="AA730" s="14"/>
      <c r="AB730" s="14"/>
      <c r="AC730" s="14"/>
    </row>
    <row r="731" ht="15.75" customHeight="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  <c r="AA731" s="14"/>
      <c r="AB731" s="14"/>
      <c r="AC731" s="14"/>
    </row>
    <row r="732" ht="15.75" customHeight="1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  <c r="AA732" s="14"/>
      <c r="AB732" s="14"/>
      <c r="AC732" s="14"/>
    </row>
    <row r="733" ht="15.75" customHeight="1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  <c r="AA733" s="14"/>
      <c r="AB733" s="14"/>
      <c r="AC733" s="14"/>
    </row>
    <row r="734" ht="15.75" customHeight="1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  <c r="AA734" s="14"/>
      <c r="AB734" s="14"/>
      <c r="AC734" s="14"/>
    </row>
    <row r="735" ht="15.75" customHeight="1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  <c r="AA735" s="14"/>
      <c r="AB735" s="14"/>
      <c r="AC735" s="14"/>
    </row>
    <row r="736" ht="15.75" customHeight="1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  <c r="AA736" s="14"/>
      <c r="AB736" s="14"/>
      <c r="AC736" s="14"/>
    </row>
    <row r="737" ht="15.75" customHeight="1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  <c r="AA737" s="14"/>
      <c r="AB737" s="14"/>
      <c r="AC737" s="14"/>
    </row>
    <row r="738" ht="15.75" customHeight="1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  <c r="AA738" s="14"/>
      <c r="AB738" s="14"/>
      <c r="AC738" s="14"/>
    </row>
    <row r="739" ht="15.75" customHeight="1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  <c r="AA739" s="14"/>
      <c r="AB739" s="14"/>
      <c r="AC739" s="14"/>
    </row>
    <row r="740" ht="15.75" customHeight="1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  <c r="AA740" s="14"/>
      <c r="AB740" s="14"/>
      <c r="AC740" s="14"/>
    </row>
    <row r="741" ht="15.75" customHeight="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  <c r="AA741" s="14"/>
      <c r="AB741" s="14"/>
      <c r="AC741" s="14"/>
    </row>
    <row r="742" ht="15.75" customHeight="1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  <c r="AA742" s="14"/>
      <c r="AB742" s="14"/>
      <c r="AC742" s="14"/>
    </row>
    <row r="743" ht="15.75" customHeight="1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  <c r="AA743" s="14"/>
      <c r="AB743" s="14"/>
      <c r="AC743" s="14"/>
    </row>
    <row r="744" ht="15.75" customHeight="1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  <c r="AA744" s="14"/>
      <c r="AB744" s="14"/>
      <c r="AC744" s="14"/>
    </row>
    <row r="745" ht="15.75" customHeight="1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  <c r="AA745" s="14"/>
      <c r="AB745" s="14"/>
      <c r="AC745" s="14"/>
    </row>
    <row r="746" ht="15.75" customHeight="1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  <c r="AA746" s="14"/>
      <c r="AB746" s="14"/>
      <c r="AC746" s="14"/>
    </row>
    <row r="747" ht="15.75" customHeight="1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  <c r="AA747" s="14"/>
      <c r="AB747" s="14"/>
      <c r="AC747" s="14"/>
    </row>
    <row r="748" ht="15.75" customHeight="1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  <c r="AA748" s="14"/>
      <c r="AB748" s="14"/>
      <c r="AC748" s="14"/>
    </row>
    <row r="749" ht="15.75" customHeight="1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  <c r="AA749" s="14"/>
      <c r="AB749" s="14"/>
      <c r="AC749" s="14"/>
    </row>
    <row r="750" ht="15.75" customHeight="1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  <c r="AA750" s="14"/>
      <c r="AB750" s="14"/>
      <c r="AC750" s="14"/>
    </row>
    <row r="751" ht="15.75" customHeight="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  <c r="AA751" s="14"/>
      <c r="AB751" s="14"/>
      <c r="AC751" s="14"/>
    </row>
    <row r="752" ht="15.75" customHeight="1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  <c r="AA752" s="14"/>
      <c r="AB752" s="14"/>
      <c r="AC752" s="14"/>
    </row>
    <row r="753" ht="15.75" customHeight="1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  <c r="AA753" s="14"/>
      <c r="AB753" s="14"/>
      <c r="AC753" s="14"/>
    </row>
    <row r="754" ht="15.75" customHeight="1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  <c r="AA754" s="14"/>
      <c r="AB754" s="14"/>
      <c r="AC754" s="14"/>
    </row>
    <row r="755" ht="15.75" customHeight="1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  <c r="AA755" s="14"/>
      <c r="AB755" s="14"/>
      <c r="AC755" s="14"/>
    </row>
    <row r="756" ht="15.75" customHeight="1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  <c r="AA756" s="14"/>
      <c r="AB756" s="14"/>
      <c r="AC756" s="14"/>
    </row>
    <row r="757" ht="15.75" customHeight="1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  <c r="AA757" s="14"/>
      <c r="AB757" s="14"/>
      <c r="AC757" s="14"/>
    </row>
    <row r="758" ht="15.75" customHeight="1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  <c r="AA758" s="14"/>
      <c r="AB758" s="14"/>
      <c r="AC758" s="14"/>
    </row>
    <row r="759" ht="15.75" customHeight="1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  <c r="AA759" s="14"/>
      <c r="AB759" s="14"/>
      <c r="AC759" s="14"/>
    </row>
    <row r="760" ht="15.75" customHeight="1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  <c r="AA760" s="14"/>
      <c r="AB760" s="14"/>
      <c r="AC760" s="14"/>
    </row>
    <row r="761" ht="15.75" customHeight="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  <c r="AA761" s="14"/>
      <c r="AB761" s="14"/>
      <c r="AC761" s="14"/>
    </row>
    <row r="762" ht="15.75" customHeight="1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  <c r="AA762" s="14"/>
      <c r="AB762" s="14"/>
      <c r="AC762" s="14"/>
    </row>
    <row r="763" ht="15.75" customHeight="1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  <c r="AA763" s="14"/>
      <c r="AB763" s="14"/>
      <c r="AC763" s="14"/>
    </row>
    <row r="764" ht="15.75" customHeight="1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  <c r="AA764" s="14"/>
      <c r="AB764" s="14"/>
      <c r="AC764" s="14"/>
    </row>
    <row r="765" ht="15.75" customHeight="1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  <c r="AA765" s="14"/>
      <c r="AB765" s="14"/>
      <c r="AC765" s="14"/>
    </row>
    <row r="766" ht="15.75" customHeight="1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  <c r="AA766" s="14"/>
      <c r="AB766" s="14"/>
      <c r="AC766" s="14"/>
    </row>
    <row r="767" ht="15.75" customHeight="1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  <c r="AA767" s="14"/>
      <c r="AB767" s="14"/>
      <c r="AC767" s="14"/>
    </row>
    <row r="768" ht="15.75" customHeight="1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  <c r="AA768" s="14"/>
      <c r="AB768" s="14"/>
      <c r="AC768" s="14"/>
    </row>
    <row r="769" ht="15.75" customHeight="1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  <c r="AA769" s="14"/>
      <c r="AB769" s="14"/>
      <c r="AC769" s="14"/>
    </row>
    <row r="770" ht="15.75" customHeight="1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  <c r="AA770" s="14"/>
      <c r="AB770" s="14"/>
      <c r="AC770" s="14"/>
    </row>
    <row r="771" ht="15.75" customHeight="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  <c r="AA771" s="14"/>
      <c r="AB771" s="14"/>
      <c r="AC771" s="14"/>
    </row>
    <row r="772" ht="15.75" customHeight="1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  <c r="AA772" s="14"/>
      <c r="AB772" s="14"/>
      <c r="AC772" s="14"/>
    </row>
    <row r="773" ht="15.75" customHeight="1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  <c r="AA773" s="14"/>
      <c r="AB773" s="14"/>
      <c r="AC773" s="14"/>
    </row>
    <row r="774" ht="15.75" customHeight="1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  <c r="AA774" s="14"/>
      <c r="AB774" s="14"/>
      <c r="AC774" s="14"/>
    </row>
    <row r="775" ht="15.75" customHeight="1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  <c r="AA775" s="14"/>
      <c r="AB775" s="14"/>
      <c r="AC775" s="14"/>
    </row>
    <row r="776" ht="15.75" customHeight="1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  <c r="AA776" s="14"/>
      <c r="AB776" s="14"/>
      <c r="AC776" s="14"/>
    </row>
    <row r="777" ht="15.75" customHeight="1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  <c r="AA777" s="14"/>
      <c r="AB777" s="14"/>
      <c r="AC777" s="14"/>
    </row>
    <row r="778" ht="15.75" customHeight="1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  <c r="AA778" s="14"/>
      <c r="AB778" s="14"/>
      <c r="AC778" s="14"/>
    </row>
    <row r="779" ht="15.75" customHeight="1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  <c r="AA779" s="14"/>
      <c r="AB779" s="14"/>
      <c r="AC779" s="14"/>
    </row>
    <row r="780" ht="15.75" customHeight="1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  <c r="AA780" s="14"/>
      <c r="AB780" s="14"/>
      <c r="AC780" s="14"/>
    </row>
    <row r="781" ht="15.75" customHeight="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  <c r="AA781" s="14"/>
      <c r="AB781" s="14"/>
      <c r="AC781" s="14"/>
    </row>
    <row r="782" ht="15.75" customHeight="1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  <c r="AA782" s="14"/>
      <c r="AB782" s="14"/>
      <c r="AC782" s="14"/>
    </row>
    <row r="783" ht="15.75" customHeight="1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  <c r="AA783" s="14"/>
      <c r="AB783" s="14"/>
      <c r="AC783" s="14"/>
    </row>
    <row r="784" ht="15.75" customHeight="1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  <c r="AA784" s="14"/>
      <c r="AB784" s="14"/>
      <c r="AC784" s="14"/>
    </row>
    <row r="785" ht="15.75" customHeight="1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  <c r="AA785" s="14"/>
      <c r="AB785" s="14"/>
      <c r="AC785" s="14"/>
    </row>
    <row r="786" ht="15.75" customHeight="1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  <c r="AA786" s="14"/>
      <c r="AB786" s="14"/>
      <c r="AC786" s="14"/>
    </row>
    <row r="787" ht="15.75" customHeight="1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  <c r="AA787" s="14"/>
      <c r="AB787" s="14"/>
      <c r="AC787" s="14"/>
    </row>
    <row r="788" ht="15.75" customHeight="1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  <c r="AA788" s="14"/>
      <c r="AB788" s="14"/>
      <c r="AC788" s="14"/>
    </row>
    <row r="789" ht="15.75" customHeight="1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  <c r="AA789" s="14"/>
      <c r="AB789" s="14"/>
      <c r="AC789" s="14"/>
    </row>
    <row r="790" ht="15.75" customHeight="1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  <c r="AA790" s="14"/>
      <c r="AB790" s="14"/>
      <c r="AC790" s="14"/>
    </row>
    <row r="791" ht="15.75" customHeight="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  <c r="AA791" s="14"/>
      <c r="AB791" s="14"/>
      <c r="AC791" s="14"/>
    </row>
    <row r="792" ht="15.75" customHeight="1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  <c r="AA792" s="14"/>
      <c r="AB792" s="14"/>
      <c r="AC792" s="14"/>
    </row>
    <row r="793" ht="15.75" customHeight="1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  <c r="AA793" s="14"/>
      <c r="AB793" s="14"/>
      <c r="AC793" s="14"/>
    </row>
    <row r="794" ht="15.75" customHeight="1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  <c r="AA794" s="14"/>
      <c r="AB794" s="14"/>
      <c r="AC794" s="14"/>
    </row>
    <row r="795" ht="15.75" customHeight="1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  <c r="AA795" s="14"/>
      <c r="AB795" s="14"/>
      <c r="AC795" s="14"/>
    </row>
    <row r="796" ht="15.75" customHeight="1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  <c r="AA796" s="14"/>
      <c r="AB796" s="14"/>
      <c r="AC796" s="14"/>
    </row>
    <row r="797" ht="15.75" customHeight="1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  <c r="AA797" s="14"/>
      <c r="AB797" s="14"/>
      <c r="AC797" s="14"/>
    </row>
    <row r="798" ht="15.75" customHeight="1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  <c r="AA798" s="14"/>
      <c r="AB798" s="14"/>
      <c r="AC798" s="14"/>
    </row>
    <row r="799" ht="15.75" customHeight="1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  <c r="AA799" s="14"/>
      <c r="AB799" s="14"/>
      <c r="AC799" s="14"/>
    </row>
    <row r="800" ht="15.75" customHeight="1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  <c r="AA800" s="14"/>
      <c r="AB800" s="14"/>
      <c r="AC800" s="14"/>
    </row>
    <row r="801" ht="15.75" customHeight="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  <c r="AA801" s="14"/>
      <c r="AB801" s="14"/>
      <c r="AC801" s="14"/>
    </row>
    <row r="802" ht="15.75" customHeight="1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  <c r="AA802" s="14"/>
      <c r="AB802" s="14"/>
      <c r="AC802" s="14"/>
    </row>
    <row r="803" ht="15.75" customHeight="1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  <c r="AA803" s="14"/>
      <c r="AB803" s="14"/>
      <c r="AC803" s="14"/>
    </row>
    <row r="804" ht="15.75" customHeight="1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  <c r="AA804" s="14"/>
      <c r="AB804" s="14"/>
      <c r="AC804" s="14"/>
    </row>
    <row r="805" ht="15.75" customHeight="1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  <c r="AA805" s="14"/>
      <c r="AB805" s="14"/>
      <c r="AC805" s="14"/>
    </row>
    <row r="806" ht="15.75" customHeight="1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  <c r="AA806" s="14"/>
      <c r="AB806" s="14"/>
      <c r="AC806" s="14"/>
    </row>
    <row r="807" ht="15.75" customHeight="1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  <c r="AA807" s="14"/>
      <c r="AB807" s="14"/>
      <c r="AC807" s="14"/>
    </row>
    <row r="808" ht="15.75" customHeight="1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  <c r="AA808" s="14"/>
      <c r="AB808" s="14"/>
      <c r="AC808" s="14"/>
    </row>
    <row r="809" ht="15.75" customHeight="1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  <c r="AA809" s="14"/>
      <c r="AB809" s="14"/>
      <c r="AC809" s="14"/>
    </row>
    <row r="810" ht="15.75" customHeight="1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  <c r="AA810" s="14"/>
      <c r="AB810" s="14"/>
      <c r="AC810" s="14"/>
    </row>
    <row r="811" ht="15.75" customHeight="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  <c r="AA811" s="14"/>
      <c r="AB811" s="14"/>
      <c r="AC811" s="14"/>
    </row>
    <row r="812" ht="15.75" customHeight="1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  <c r="AA812" s="14"/>
      <c r="AB812" s="14"/>
      <c r="AC812" s="14"/>
    </row>
    <row r="813" ht="15.75" customHeight="1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  <c r="AA813" s="14"/>
      <c r="AB813" s="14"/>
      <c r="AC813" s="14"/>
    </row>
    <row r="814" ht="15.75" customHeight="1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  <c r="AA814" s="14"/>
      <c r="AB814" s="14"/>
      <c r="AC814" s="14"/>
    </row>
    <row r="815" ht="15.75" customHeight="1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  <c r="AA815" s="14"/>
      <c r="AB815" s="14"/>
      <c r="AC815" s="14"/>
    </row>
    <row r="816" ht="15.75" customHeight="1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  <c r="AA816" s="14"/>
      <c r="AB816" s="14"/>
      <c r="AC816" s="14"/>
    </row>
    <row r="817" ht="15.75" customHeight="1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  <c r="AA817" s="14"/>
      <c r="AB817" s="14"/>
      <c r="AC817" s="14"/>
    </row>
    <row r="818" ht="15.75" customHeight="1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  <c r="AA818" s="14"/>
      <c r="AB818" s="14"/>
      <c r="AC818" s="14"/>
    </row>
    <row r="819" ht="15.75" customHeight="1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  <c r="AA819" s="14"/>
      <c r="AB819" s="14"/>
      <c r="AC819" s="14"/>
    </row>
    <row r="820" ht="15.75" customHeight="1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  <c r="AA820" s="14"/>
      <c r="AB820" s="14"/>
      <c r="AC820" s="14"/>
    </row>
    <row r="821" ht="15.75" customHeight="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  <c r="AA821" s="14"/>
      <c r="AB821" s="14"/>
      <c r="AC821" s="14"/>
    </row>
    <row r="822" ht="15.75" customHeight="1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  <c r="AA822" s="14"/>
      <c r="AB822" s="14"/>
      <c r="AC822" s="14"/>
    </row>
    <row r="823" ht="15.75" customHeight="1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  <c r="AA823" s="14"/>
      <c r="AB823" s="14"/>
      <c r="AC823" s="14"/>
    </row>
    <row r="824" ht="15.75" customHeight="1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  <c r="AA824" s="14"/>
      <c r="AB824" s="14"/>
      <c r="AC824" s="14"/>
    </row>
    <row r="825" ht="15.75" customHeight="1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  <c r="AA825" s="14"/>
      <c r="AB825" s="14"/>
      <c r="AC825" s="14"/>
    </row>
    <row r="826" ht="15.75" customHeight="1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  <c r="AA826" s="14"/>
      <c r="AB826" s="14"/>
      <c r="AC826" s="14"/>
    </row>
    <row r="827" ht="15.75" customHeight="1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  <c r="AA827" s="14"/>
      <c r="AB827" s="14"/>
      <c r="AC827" s="14"/>
    </row>
    <row r="828" ht="15.75" customHeight="1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  <c r="AA828" s="14"/>
      <c r="AB828" s="14"/>
      <c r="AC828" s="14"/>
    </row>
    <row r="829" ht="15.75" customHeight="1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  <c r="AA829" s="14"/>
      <c r="AB829" s="14"/>
      <c r="AC829" s="14"/>
    </row>
    <row r="830" ht="15.75" customHeight="1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  <c r="AA830" s="14"/>
      <c r="AB830" s="14"/>
      <c r="AC830" s="14"/>
    </row>
    <row r="831" ht="15.75" customHeight="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  <c r="AA831" s="14"/>
      <c r="AB831" s="14"/>
      <c r="AC831" s="14"/>
    </row>
    <row r="832" ht="15.75" customHeight="1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  <c r="AA832" s="14"/>
      <c r="AB832" s="14"/>
      <c r="AC832" s="14"/>
    </row>
    <row r="833" ht="15.75" customHeight="1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  <c r="AA833" s="14"/>
      <c r="AB833" s="14"/>
      <c r="AC833" s="14"/>
    </row>
    <row r="834" ht="15.75" customHeight="1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  <c r="AA834" s="14"/>
      <c r="AB834" s="14"/>
      <c r="AC834" s="14"/>
    </row>
    <row r="835" ht="15.75" customHeight="1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  <c r="AA835" s="14"/>
      <c r="AB835" s="14"/>
      <c r="AC835" s="14"/>
    </row>
    <row r="836" ht="15.75" customHeight="1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  <c r="AA836" s="14"/>
      <c r="AB836" s="14"/>
      <c r="AC836" s="14"/>
    </row>
    <row r="837" ht="15.75" customHeight="1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  <c r="AA837" s="14"/>
      <c r="AB837" s="14"/>
      <c r="AC837" s="14"/>
    </row>
    <row r="838" ht="15.75" customHeight="1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  <c r="AA838" s="14"/>
      <c r="AB838" s="14"/>
      <c r="AC838" s="14"/>
    </row>
    <row r="839" ht="15.75" customHeight="1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  <c r="AA839" s="14"/>
      <c r="AB839" s="14"/>
      <c r="AC839" s="14"/>
    </row>
    <row r="840" ht="15.75" customHeight="1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  <c r="AA840" s="14"/>
      <c r="AB840" s="14"/>
      <c r="AC840" s="14"/>
    </row>
    <row r="841" ht="15.75" customHeight="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  <c r="AA841" s="14"/>
      <c r="AB841" s="14"/>
      <c r="AC841" s="14"/>
    </row>
    <row r="842" ht="15.75" customHeight="1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  <c r="AA842" s="14"/>
      <c r="AB842" s="14"/>
      <c r="AC842" s="14"/>
    </row>
    <row r="843" ht="15.75" customHeight="1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  <c r="AA843" s="14"/>
      <c r="AB843" s="14"/>
      <c r="AC843" s="14"/>
    </row>
    <row r="844" ht="15.75" customHeight="1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  <c r="AA844" s="14"/>
      <c r="AB844" s="14"/>
      <c r="AC844" s="14"/>
    </row>
    <row r="845" ht="15.75" customHeight="1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  <c r="AA845" s="14"/>
      <c r="AB845" s="14"/>
      <c r="AC845" s="14"/>
    </row>
    <row r="846" ht="15.75" customHeight="1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  <c r="AA846" s="14"/>
      <c r="AB846" s="14"/>
      <c r="AC846" s="14"/>
    </row>
    <row r="847" ht="15.75" customHeight="1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  <c r="AA847" s="14"/>
      <c r="AB847" s="14"/>
      <c r="AC847" s="14"/>
    </row>
    <row r="848" ht="15.75" customHeight="1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  <c r="AA848" s="14"/>
      <c r="AB848" s="14"/>
      <c r="AC848" s="14"/>
    </row>
    <row r="849" ht="15.75" customHeight="1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  <c r="AA849" s="14"/>
      <c r="AB849" s="14"/>
      <c r="AC849" s="14"/>
    </row>
    <row r="850" ht="15.75" customHeight="1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  <c r="AA850" s="14"/>
      <c r="AB850" s="14"/>
      <c r="AC850" s="14"/>
    </row>
    <row r="851" ht="15.75" customHeight="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  <c r="AA851" s="14"/>
      <c r="AB851" s="14"/>
      <c r="AC851" s="14"/>
    </row>
    <row r="852" ht="15.75" customHeight="1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  <c r="AA852" s="14"/>
      <c r="AB852" s="14"/>
      <c r="AC852" s="14"/>
    </row>
    <row r="853" ht="15.75" customHeight="1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  <c r="AA853" s="14"/>
      <c r="AB853" s="14"/>
      <c r="AC853" s="14"/>
    </row>
    <row r="854" ht="15.75" customHeight="1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  <c r="AA854" s="14"/>
      <c r="AB854" s="14"/>
      <c r="AC854" s="14"/>
    </row>
    <row r="855" ht="15.75" customHeight="1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  <c r="AA855" s="14"/>
      <c r="AB855" s="14"/>
      <c r="AC855" s="14"/>
    </row>
    <row r="856" ht="15.75" customHeight="1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  <c r="AA856" s="14"/>
      <c r="AB856" s="14"/>
      <c r="AC856" s="14"/>
    </row>
    <row r="857" ht="15.75" customHeight="1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  <c r="AA857" s="14"/>
      <c r="AB857" s="14"/>
      <c r="AC857" s="14"/>
    </row>
    <row r="858" ht="15.75" customHeight="1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  <c r="AA858" s="14"/>
      <c r="AB858" s="14"/>
      <c r="AC858" s="14"/>
    </row>
    <row r="859" ht="15.75" customHeight="1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  <c r="AA859" s="14"/>
      <c r="AB859" s="14"/>
      <c r="AC859" s="14"/>
    </row>
    <row r="860" ht="15.75" customHeight="1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  <c r="AA860" s="14"/>
      <c r="AB860" s="14"/>
      <c r="AC860" s="14"/>
    </row>
    <row r="861" ht="15.75" customHeight="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  <c r="AA861" s="14"/>
      <c r="AB861" s="14"/>
      <c r="AC861" s="14"/>
    </row>
    <row r="862" ht="15.75" customHeight="1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  <c r="AA862" s="14"/>
      <c r="AB862" s="14"/>
      <c r="AC862" s="14"/>
    </row>
    <row r="863" ht="15.75" customHeight="1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  <c r="AA863" s="14"/>
      <c r="AB863" s="14"/>
      <c r="AC863" s="14"/>
    </row>
    <row r="864" ht="15.75" customHeight="1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  <c r="AA864" s="14"/>
      <c r="AB864" s="14"/>
      <c r="AC864" s="14"/>
    </row>
    <row r="865" ht="15.75" customHeight="1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  <c r="AA865" s="14"/>
      <c r="AB865" s="14"/>
      <c r="AC865" s="14"/>
    </row>
    <row r="866" ht="15.75" customHeight="1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  <c r="AA866" s="14"/>
      <c r="AB866" s="14"/>
      <c r="AC866" s="14"/>
    </row>
    <row r="867" ht="15.75" customHeight="1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  <c r="AA867" s="14"/>
      <c r="AB867" s="14"/>
      <c r="AC867" s="14"/>
    </row>
    <row r="868" ht="15.75" customHeight="1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  <c r="AA868" s="14"/>
      <c r="AB868" s="14"/>
      <c r="AC868" s="14"/>
    </row>
    <row r="869" ht="15.75" customHeight="1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  <c r="AA869" s="14"/>
      <c r="AB869" s="14"/>
      <c r="AC869" s="14"/>
    </row>
    <row r="870" ht="15.75" customHeight="1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  <c r="AA870" s="14"/>
      <c r="AB870" s="14"/>
      <c r="AC870" s="14"/>
    </row>
    <row r="871" ht="15.75" customHeight="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  <c r="AA871" s="14"/>
      <c r="AB871" s="14"/>
      <c r="AC871" s="14"/>
    </row>
    <row r="872" ht="15.75" customHeight="1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  <c r="AA872" s="14"/>
      <c r="AB872" s="14"/>
      <c r="AC872" s="14"/>
    </row>
    <row r="873" ht="15.75" customHeight="1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  <c r="AA873" s="14"/>
      <c r="AB873" s="14"/>
      <c r="AC873" s="14"/>
    </row>
    <row r="874" ht="15.75" customHeight="1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  <c r="AA874" s="14"/>
      <c r="AB874" s="14"/>
      <c r="AC874" s="14"/>
    </row>
    <row r="875" ht="15.75" customHeight="1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  <c r="AA875" s="14"/>
      <c r="AB875" s="14"/>
      <c r="AC875" s="14"/>
    </row>
    <row r="876" ht="15.75" customHeight="1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  <c r="AA876" s="14"/>
      <c r="AB876" s="14"/>
      <c r="AC876" s="14"/>
    </row>
    <row r="877" ht="15.75" customHeight="1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  <c r="AA877" s="14"/>
      <c r="AB877" s="14"/>
      <c r="AC877" s="14"/>
    </row>
    <row r="878" ht="15.75" customHeight="1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  <c r="AA878" s="14"/>
      <c r="AB878" s="14"/>
      <c r="AC878" s="14"/>
    </row>
    <row r="879" ht="15.75" customHeight="1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  <c r="AA879" s="14"/>
      <c r="AB879" s="14"/>
      <c r="AC879" s="14"/>
    </row>
    <row r="880" ht="15.75" customHeight="1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  <c r="AA880" s="14"/>
      <c r="AB880" s="14"/>
      <c r="AC880" s="14"/>
    </row>
    <row r="881" ht="15.75" customHeight="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  <c r="AA881" s="14"/>
      <c r="AB881" s="14"/>
      <c r="AC881" s="14"/>
    </row>
    <row r="882" ht="15.75" customHeight="1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  <c r="AA882" s="14"/>
      <c r="AB882" s="14"/>
      <c r="AC882" s="14"/>
    </row>
    <row r="883" ht="15.75" customHeight="1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  <c r="AA883" s="14"/>
      <c r="AB883" s="14"/>
      <c r="AC883" s="14"/>
    </row>
    <row r="884" ht="15.75" customHeight="1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  <c r="AA884" s="14"/>
      <c r="AB884" s="14"/>
      <c r="AC884" s="14"/>
    </row>
    <row r="885" ht="15.75" customHeight="1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  <c r="AA885" s="14"/>
      <c r="AB885" s="14"/>
      <c r="AC885" s="14"/>
    </row>
    <row r="886" ht="15.75" customHeight="1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  <c r="AA886" s="14"/>
      <c r="AB886" s="14"/>
      <c r="AC886" s="14"/>
    </row>
    <row r="887" ht="15.75" customHeight="1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  <c r="AA887" s="14"/>
      <c r="AB887" s="14"/>
      <c r="AC887" s="14"/>
    </row>
    <row r="888" ht="15.75" customHeight="1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  <c r="AA888" s="14"/>
      <c r="AB888" s="14"/>
      <c r="AC888" s="14"/>
    </row>
    <row r="889" ht="15.75" customHeight="1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  <c r="AA889" s="14"/>
      <c r="AB889" s="14"/>
      <c r="AC889" s="14"/>
    </row>
    <row r="890" ht="15.75" customHeight="1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  <c r="AA890" s="14"/>
      <c r="AB890" s="14"/>
      <c r="AC890" s="14"/>
    </row>
    <row r="891" ht="15.75" customHeight="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  <c r="AA891" s="14"/>
      <c r="AB891" s="14"/>
      <c r="AC891" s="14"/>
    </row>
    <row r="892" ht="15.75" customHeight="1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  <c r="AA892" s="14"/>
      <c r="AB892" s="14"/>
      <c r="AC892" s="14"/>
    </row>
    <row r="893" ht="15.75" customHeight="1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  <c r="AA893" s="14"/>
      <c r="AB893" s="14"/>
      <c r="AC893" s="14"/>
    </row>
    <row r="894" ht="15.75" customHeight="1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  <c r="AA894" s="14"/>
      <c r="AB894" s="14"/>
      <c r="AC894" s="14"/>
    </row>
    <row r="895" ht="15.75" customHeight="1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  <c r="AA895" s="14"/>
      <c r="AB895" s="14"/>
      <c r="AC895" s="14"/>
    </row>
    <row r="896" ht="15.75" customHeight="1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  <c r="AA896" s="14"/>
      <c r="AB896" s="14"/>
      <c r="AC896" s="14"/>
    </row>
    <row r="897" ht="15.75" customHeight="1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  <c r="AA897" s="14"/>
      <c r="AB897" s="14"/>
      <c r="AC897" s="14"/>
    </row>
    <row r="898" ht="15.75" customHeight="1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  <c r="AA898" s="14"/>
      <c r="AB898" s="14"/>
      <c r="AC898" s="14"/>
    </row>
    <row r="899" ht="15.75" customHeight="1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  <c r="AA899" s="14"/>
      <c r="AB899" s="14"/>
      <c r="AC899" s="14"/>
    </row>
    <row r="900" ht="15.75" customHeight="1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  <c r="AA900" s="14"/>
      <c r="AB900" s="14"/>
      <c r="AC900" s="14"/>
    </row>
    <row r="901" ht="15.75" customHeight="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  <c r="AA901" s="14"/>
      <c r="AB901" s="14"/>
      <c r="AC901" s="14"/>
    </row>
    <row r="902" ht="15.75" customHeight="1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  <c r="AA902" s="14"/>
      <c r="AB902" s="14"/>
      <c r="AC902" s="14"/>
    </row>
    <row r="903" ht="15.75" customHeight="1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  <c r="AA903" s="14"/>
      <c r="AB903" s="14"/>
      <c r="AC903" s="14"/>
    </row>
    <row r="904" ht="15.75" customHeight="1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  <c r="AA904" s="14"/>
      <c r="AB904" s="14"/>
      <c r="AC904" s="14"/>
    </row>
    <row r="905" ht="15.75" customHeight="1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  <c r="AA905" s="14"/>
      <c r="AB905" s="14"/>
      <c r="AC905" s="14"/>
    </row>
    <row r="906" ht="15.75" customHeight="1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  <c r="AA906" s="14"/>
      <c r="AB906" s="14"/>
      <c r="AC906" s="14"/>
    </row>
    <row r="907" ht="15.75" customHeight="1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  <c r="AA907" s="14"/>
      <c r="AB907" s="14"/>
      <c r="AC907" s="14"/>
    </row>
    <row r="908" ht="15.75" customHeight="1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  <c r="AA908" s="14"/>
      <c r="AB908" s="14"/>
      <c r="AC908" s="14"/>
    </row>
    <row r="909" ht="15.75" customHeight="1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  <c r="AA909" s="14"/>
      <c r="AB909" s="14"/>
      <c r="AC909" s="14"/>
    </row>
    <row r="910" ht="15.75" customHeight="1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  <c r="AA910" s="14"/>
      <c r="AB910" s="14"/>
      <c r="AC910" s="14"/>
    </row>
    <row r="911" ht="15.75" customHeight="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  <c r="AA911" s="14"/>
      <c r="AB911" s="14"/>
      <c r="AC911" s="14"/>
    </row>
    <row r="912" ht="15.75" customHeight="1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  <c r="AA912" s="14"/>
      <c r="AB912" s="14"/>
      <c r="AC912" s="14"/>
    </row>
    <row r="913" ht="15.75" customHeight="1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  <c r="AA913" s="14"/>
      <c r="AB913" s="14"/>
      <c r="AC913" s="14"/>
    </row>
    <row r="914" ht="15.75" customHeight="1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  <c r="AA914" s="14"/>
      <c r="AB914" s="14"/>
      <c r="AC914" s="14"/>
    </row>
    <row r="915" ht="15.75" customHeight="1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  <c r="AA915" s="14"/>
      <c r="AB915" s="14"/>
      <c r="AC915" s="14"/>
    </row>
    <row r="916" ht="15.75" customHeight="1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  <c r="AA916" s="14"/>
      <c r="AB916" s="14"/>
      <c r="AC916" s="14"/>
    </row>
    <row r="917" ht="15.75" customHeight="1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  <c r="AA917" s="14"/>
      <c r="AB917" s="14"/>
      <c r="AC917" s="14"/>
    </row>
    <row r="918" ht="15.75" customHeight="1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  <c r="AA918" s="14"/>
      <c r="AB918" s="14"/>
      <c r="AC918" s="14"/>
    </row>
    <row r="919" ht="15.75" customHeight="1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  <c r="AA919" s="14"/>
      <c r="AB919" s="14"/>
      <c r="AC919" s="14"/>
    </row>
    <row r="920" ht="15.75" customHeight="1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  <c r="AA920" s="14"/>
      <c r="AB920" s="14"/>
      <c r="AC920" s="14"/>
    </row>
    <row r="921" ht="15.75" customHeight="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  <c r="AA921" s="14"/>
      <c r="AB921" s="14"/>
      <c r="AC921" s="14"/>
    </row>
    <row r="922" ht="15.75" customHeight="1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  <c r="AA922" s="14"/>
      <c r="AB922" s="14"/>
      <c r="AC922" s="14"/>
    </row>
    <row r="923" ht="15.75" customHeight="1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  <c r="AA923" s="14"/>
      <c r="AB923" s="14"/>
      <c r="AC923" s="14"/>
    </row>
    <row r="924" ht="15.75" customHeight="1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  <c r="AA924" s="14"/>
      <c r="AB924" s="14"/>
      <c r="AC924" s="14"/>
    </row>
    <row r="925" ht="15.75" customHeight="1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  <c r="AA925" s="14"/>
      <c r="AB925" s="14"/>
      <c r="AC925" s="14"/>
    </row>
    <row r="926" ht="15.75" customHeight="1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  <c r="AA926" s="14"/>
      <c r="AB926" s="14"/>
      <c r="AC926" s="14"/>
    </row>
    <row r="927" ht="15.75" customHeight="1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  <c r="AA927" s="14"/>
      <c r="AB927" s="14"/>
      <c r="AC927" s="14"/>
    </row>
    <row r="928" ht="15.75" customHeight="1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  <c r="AA928" s="14"/>
      <c r="AB928" s="14"/>
      <c r="AC928" s="14"/>
    </row>
    <row r="929" ht="15.75" customHeight="1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  <c r="AA929" s="14"/>
      <c r="AB929" s="14"/>
      <c r="AC929" s="14"/>
    </row>
    <row r="930" ht="15.75" customHeight="1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  <c r="AA930" s="14"/>
      <c r="AB930" s="14"/>
      <c r="AC930" s="14"/>
    </row>
    <row r="931" ht="15.75" customHeight="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  <c r="AA931" s="14"/>
      <c r="AB931" s="14"/>
      <c r="AC931" s="14"/>
    </row>
    <row r="932" ht="15.75" customHeight="1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  <c r="AA932" s="14"/>
      <c r="AB932" s="14"/>
      <c r="AC932" s="14"/>
    </row>
    <row r="933" ht="15.75" customHeight="1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  <c r="AA933" s="14"/>
      <c r="AB933" s="14"/>
      <c r="AC933" s="14"/>
    </row>
    <row r="934" ht="15.75" customHeight="1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  <c r="AA934" s="14"/>
      <c r="AB934" s="14"/>
      <c r="AC934" s="14"/>
    </row>
    <row r="935" ht="15.75" customHeight="1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  <c r="AA935" s="14"/>
      <c r="AB935" s="14"/>
      <c r="AC935" s="14"/>
    </row>
    <row r="936" ht="15.75" customHeight="1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  <c r="AA936" s="14"/>
      <c r="AB936" s="14"/>
      <c r="AC936" s="14"/>
    </row>
    <row r="937" ht="15.75" customHeight="1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  <c r="AA937" s="14"/>
      <c r="AB937" s="14"/>
      <c r="AC937" s="14"/>
    </row>
    <row r="938" ht="15.75" customHeight="1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  <c r="AA938" s="14"/>
      <c r="AB938" s="14"/>
      <c r="AC938" s="14"/>
    </row>
    <row r="939" ht="15.75" customHeight="1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  <c r="AA939" s="14"/>
      <c r="AB939" s="14"/>
      <c r="AC939" s="14"/>
    </row>
    <row r="940" ht="15.75" customHeight="1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  <c r="AA940" s="14"/>
      <c r="AB940" s="14"/>
      <c r="AC940" s="14"/>
    </row>
    <row r="941" ht="15.75" customHeight="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  <c r="AA941" s="14"/>
      <c r="AB941" s="14"/>
      <c r="AC941" s="14"/>
    </row>
    <row r="942" ht="15.75" customHeight="1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  <c r="AA942" s="14"/>
      <c r="AB942" s="14"/>
      <c r="AC942" s="14"/>
    </row>
    <row r="943" ht="15.75" customHeight="1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  <c r="AA943" s="14"/>
      <c r="AB943" s="14"/>
      <c r="AC943" s="14"/>
    </row>
    <row r="944" ht="15.75" customHeight="1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  <c r="AA944" s="14"/>
      <c r="AB944" s="14"/>
      <c r="AC944" s="14"/>
    </row>
    <row r="945" ht="15.75" customHeight="1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  <c r="AA945" s="14"/>
      <c r="AB945" s="14"/>
      <c r="AC945" s="14"/>
    </row>
    <row r="946" ht="15.75" customHeight="1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  <c r="AA946" s="14"/>
      <c r="AB946" s="14"/>
      <c r="AC946" s="14"/>
    </row>
    <row r="947" ht="15.75" customHeight="1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  <c r="AA947" s="14"/>
      <c r="AB947" s="14"/>
      <c r="AC947" s="14"/>
    </row>
    <row r="948" ht="15.75" customHeight="1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  <c r="AA948" s="14"/>
      <c r="AB948" s="14"/>
      <c r="AC948" s="14"/>
    </row>
    <row r="949" ht="15.75" customHeight="1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  <c r="AA949" s="14"/>
      <c r="AB949" s="14"/>
      <c r="AC949" s="14"/>
    </row>
    <row r="950" ht="15.75" customHeight="1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  <c r="AA950" s="14"/>
      <c r="AB950" s="14"/>
      <c r="AC950" s="14"/>
    </row>
    <row r="951" ht="15.75" customHeight="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  <c r="AA951" s="14"/>
      <c r="AB951" s="14"/>
      <c r="AC951" s="14"/>
    </row>
    <row r="952" ht="15.75" customHeight="1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  <c r="AA952" s="14"/>
      <c r="AB952" s="14"/>
      <c r="AC952" s="14"/>
    </row>
    <row r="953" ht="15.75" customHeight="1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  <c r="AA953" s="14"/>
      <c r="AB953" s="14"/>
      <c r="AC953" s="14"/>
    </row>
    <row r="954" ht="15.75" customHeight="1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  <c r="AA954" s="14"/>
      <c r="AB954" s="14"/>
      <c r="AC954" s="14"/>
    </row>
    <row r="955" ht="15.75" customHeight="1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  <c r="AA955" s="14"/>
      <c r="AB955" s="14"/>
      <c r="AC955" s="14"/>
    </row>
    <row r="956" ht="15.75" customHeight="1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  <c r="AA956" s="14"/>
      <c r="AB956" s="14"/>
      <c r="AC956" s="14"/>
    </row>
    <row r="957" ht="15.75" customHeight="1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  <c r="AA957" s="14"/>
      <c r="AB957" s="14"/>
      <c r="AC957" s="14"/>
    </row>
    <row r="958" ht="15.75" customHeight="1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  <c r="AA958" s="14"/>
      <c r="AB958" s="14"/>
      <c r="AC958" s="14"/>
    </row>
    <row r="959" ht="15.75" customHeight="1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  <c r="AA959" s="14"/>
      <c r="AB959" s="14"/>
      <c r="AC959" s="14"/>
    </row>
    <row r="960" ht="15.75" customHeight="1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  <c r="AA960" s="14"/>
      <c r="AB960" s="14"/>
      <c r="AC960" s="14"/>
    </row>
    <row r="961" ht="15.75" customHeight="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  <c r="AA961" s="14"/>
      <c r="AB961" s="14"/>
      <c r="AC961" s="14"/>
    </row>
    <row r="962" ht="15.75" customHeight="1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  <c r="AA962" s="14"/>
      <c r="AB962" s="14"/>
      <c r="AC962" s="14"/>
    </row>
    <row r="963" ht="15.75" customHeight="1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  <c r="AA963" s="14"/>
      <c r="AB963" s="14"/>
      <c r="AC963" s="14"/>
    </row>
    <row r="964" ht="15.75" customHeight="1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  <c r="AA964" s="14"/>
      <c r="AB964" s="14"/>
      <c r="AC964" s="14"/>
    </row>
    <row r="965" ht="15.75" customHeight="1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  <c r="AA965" s="14"/>
      <c r="AB965" s="14"/>
      <c r="AC965" s="14"/>
    </row>
    <row r="966" ht="15.75" customHeight="1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  <c r="AA966" s="14"/>
      <c r="AB966" s="14"/>
      <c r="AC966" s="14"/>
    </row>
    <row r="967" ht="15.75" customHeight="1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  <c r="AA967" s="14"/>
      <c r="AB967" s="14"/>
      <c r="AC967" s="14"/>
    </row>
    <row r="968" ht="15.75" customHeight="1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  <c r="AA968" s="14"/>
      <c r="AB968" s="14"/>
      <c r="AC968" s="14"/>
    </row>
    <row r="969" ht="15.75" customHeight="1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  <c r="AA969" s="14"/>
      <c r="AB969" s="14"/>
      <c r="AC969" s="14"/>
    </row>
    <row r="970" ht="15.75" customHeight="1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  <c r="AA970" s="14"/>
      <c r="AB970" s="14"/>
      <c r="AC970" s="14"/>
    </row>
    <row r="971" ht="15.75" customHeight="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  <c r="AA971" s="14"/>
      <c r="AB971" s="14"/>
      <c r="AC971" s="14"/>
    </row>
    <row r="972" ht="15.75" customHeight="1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  <c r="AA972" s="14"/>
      <c r="AB972" s="14"/>
      <c r="AC972" s="14"/>
    </row>
    <row r="973" ht="15.75" customHeight="1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  <c r="AA973" s="14"/>
      <c r="AB973" s="14"/>
      <c r="AC973" s="14"/>
    </row>
    <row r="974" ht="15.75" customHeight="1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  <c r="AA974" s="14"/>
      <c r="AB974" s="14"/>
      <c r="AC974" s="14"/>
    </row>
    <row r="975" ht="15.75" customHeight="1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  <c r="AA975" s="14"/>
      <c r="AB975" s="14"/>
      <c r="AC975" s="14"/>
    </row>
    <row r="976" ht="15.75" customHeight="1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  <c r="AA976" s="14"/>
      <c r="AB976" s="14"/>
      <c r="AC976" s="14"/>
    </row>
    <row r="977" ht="15.75" customHeight="1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  <c r="AA977" s="14"/>
      <c r="AB977" s="14"/>
      <c r="AC977" s="14"/>
    </row>
    <row r="978" ht="15.75" customHeight="1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  <c r="AA978" s="14"/>
      <c r="AB978" s="14"/>
      <c r="AC978" s="14"/>
    </row>
    <row r="979" ht="15.75" customHeight="1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  <c r="AA979" s="14"/>
      <c r="AB979" s="14"/>
      <c r="AC979" s="14"/>
    </row>
    <row r="980" ht="15.75" customHeight="1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  <c r="AA980" s="14"/>
      <c r="AB980" s="14"/>
      <c r="AC980" s="14"/>
    </row>
    <row r="981" ht="15.75" customHeight="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  <c r="AA981" s="14"/>
      <c r="AB981" s="14"/>
      <c r="AC981" s="14"/>
    </row>
    <row r="982" ht="15.75" customHeight="1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  <c r="AA982" s="14"/>
      <c r="AB982" s="14"/>
      <c r="AC982" s="14"/>
    </row>
    <row r="983" ht="15.75" customHeight="1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  <c r="AA983" s="14"/>
      <c r="AB983" s="14"/>
      <c r="AC983" s="14"/>
    </row>
    <row r="984" ht="15.75" customHeight="1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  <c r="AA984" s="14"/>
      <c r="AB984" s="14"/>
      <c r="AC984" s="14"/>
    </row>
    <row r="985" ht="15.75" customHeight="1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  <c r="AA985" s="14"/>
      <c r="AB985" s="14"/>
      <c r="AC985" s="14"/>
    </row>
    <row r="986" ht="15.75" customHeight="1">
      <c r="A986" s="14"/>
      <c r="B986" s="14"/>
      <c r="C986" s="14"/>
      <c r="D986" s="14"/>
      <c r="E986" s="14"/>
      <c r="F986" s="16"/>
      <c r="G986" s="16"/>
      <c r="H986" s="17"/>
      <c r="I986" s="14"/>
    </row>
    <row r="987" ht="15.75" customHeight="1">
      <c r="A987" s="14"/>
      <c r="B987" s="14"/>
      <c r="C987" s="14"/>
      <c r="D987" s="14"/>
      <c r="E987" s="14"/>
      <c r="F987" s="16"/>
      <c r="G987" s="16"/>
      <c r="H987" s="17"/>
      <c r="I987" s="14"/>
    </row>
    <row r="988" ht="15.75" customHeight="1">
      <c r="A988" s="14"/>
      <c r="B988" s="14"/>
      <c r="C988" s="14"/>
      <c r="D988" s="14"/>
      <c r="E988" s="14"/>
      <c r="F988" s="16"/>
      <c r="G988" s="16"/>
      <c r="H988" s="17"/>
      <c r="I988" s="14"/>
    </row>
    <row r="989" ht="15.75" customHeight="1">
      <c r="A989" s="14"/>
      <c r="B989" s="14"/>
      <c r="C989" s="14"/>
      <c r="D989" s="14"/>
      <c r="E989" s="14"/>
      <c r="F989" s="16"/>
      <c r="G989" s="16"/>
      <c r="H989" s="17"/>
      <c r="I989" s="14"/>
    </row>
    <row r="990" ht="15.75" customHeight="1">
      <c r="A990" s="14"/>
      <c r="B990" s="14"/>
      <c r="C990" s="14"/>
      <c r="D990" s="14"/>
      <c r="E990" s="14"/>
      <c r="F990" s="16"/>
      <c r="G990" s="16"/>
      <c r="H990" s="17"/>
      <c r="I990" s="14"/>
    </row>
    <row r="991" ht="15.75" customHeight="1">
      <c r="A991" s="14"/>
      <c r="B991" s="14"/>
      <c r="C991" s="14"/>
      <c r="D991" s="14"/>
      <c r="E991" s="14"/>
      <c r="F991" s="16"/>
      <c r="G991" s="16"/>
      <c r="H991" s="17"/>
      <c r="I991" s="14"/>
    </row>
    <row r="992" ht="15.75" customHeight="1">
      <c r="A992" s="14"/>
      <c r="B992" s="14"/>
      <c r="C992" s="14"/>
      <c r="D992" s="14"/>
      <c r="E992" s="14"/>
      <c r="F992" s="16"/>
      <c r="G992" s="16"/>
      <c r="H992" s="17"/>
      <c r="I992" s="14"/>
    </row>
    <row r="993" ht="15.75" customHeight="1">
      <c r="A993" s="14"/>
      <c r="B993" s="14"/>
      <c r="C993" s="14"/>
      <c r="D993" s="14"/>
      <c r="E993" s="14"/>
      <c r="F993" s="16"/>
      <c r="G993" s="16"/>
      <c r="H993" s="17"/>
      <c r="I993" s="14"/>
    </row>
    <row r="994" ht="15.75" customHeight="1">
      <c r="A994" s="14"/>
      <c r="B994" s="14"/>
      <c r="C994" s="14"/>
      <c r="D994" s="14"/>
      <c r="E994" s="14"/>
      <c r="F994" s="16"/>
      <c r="G994" s="16"/>
      <c r="H994" s="17"/>
      <c r="I994" s="14"/>
    </row>
    <row r="995" ht="15.75" customHeight="1">
      <c r="A995" s="14"/>
      <c r="B995" s="14"/>
      <c r="C995" s="14"/>
      <c r="D995" s="14"/>
      <c r="E995" s="14"/>
      <c r="F995" s="16"/>
      <c r="G995" s="16"/>
      <c r="H995" s="17"/>
      <c r="I995" s="14"/>
    </row>
    <row r="996" ht="15.75" customHeight="1">
      <c r="A996" s="14"/>
      <c r="B996" s="14"/>
      <c r="C996" s="14"/>
      <c r="D996" s="14"/>
      <c r="E996" s="14"/>
      <c r="F996" s="16"/>
      <c r="G996" s="16"/>
      <c r="H996" s="17"/>
      <c r="I996" s="14"/>
    </row>
    <row r="997" ht="15.75" customHeight="1">
      <c r="A997" s="14"/>
      <c r="B997" s="14"/>
      <c r="C997" s="14"/>
      <c r="D997" s="14"/>
      <c r="E997" s="14"/>
      <c r="F997" s="16"/>
      <c r="G997" s="16"/>
      <c r="H997" s="17"/>
      <c r="I997" s="14"/>
    </row>
    <row r="998" ht="15.75" customHeight="1">
      <c r="A998" s="14"/>
      <c r="B998" s="14"/>
      <c r="C998" s="14"/>
      <c r="D998" s="14"/>
      <c r="E998" s="14"/>
      <c r="F998" s="16"/>
      <c r="G998" s="16"/>
      <c r="H998" s="17"/>
      <c r="I998" s="14"/>
    </row>
    <row r="999" ht="15.75" customHeight="1">
      <c r="A999" s="14"/>
      <c r="B999" s="14"/>
      <c r="C999" s="14"/>
      <c r="D999" s="14"/>
      <c r="E999" s="14"/>
      <c r="F999" s="16"/>
      <c r="G999" s="16"/>
      <c r="H999" s="17"/>
      <c r="I999" s="14"/>
    </row>
    <row r="1000" ht="15.75" customHeight="1">
      <c r="A1000" s="14"/>
      <c r="B1000" s="14"/>
      <c r="C1000" s="14"/>
      <c r="D1000" s="14"/>
      <c r="E1000" s="14"/>
      <c r="F1000" s="16"/>
      <c r="G1000" s="16"/>
      <c r="H1000" s="17"/>
      <c r="I1000" s="14"/>
    </row>
    <row r="1001" ht="15.75" customHeight="1">
      <c r="A1001" s="14"/>
      <c r="B1001" s="14"/>
      <c r="C1001" s="14"/>
      <c r="D1001" s="14"/>
      <c r="E1001" s="14"/>
      <c r="F1001" s="16"/>
      <c r="G1001" s="16"/>
      <c r="H1001" s="17"/>
      <c r="I1001" s="14"/>
    </row>
    <row r="1002" ht="15.75" customHeight="1">
      <c r="A1002" s="14"/>
      <c r="B1002" s="14"/>
      <c r="C1002" s="14"/>
      <c r="D1002" s="14"/>
      <c r="E1002" s="14"/>
      <c r="F1002" s="16"/>
      <c r="G1002" s="16"/>
      <c r="H1002" s="17"/>
      <c r="I1002" s="14"/>
    </row>
    <row r="1003" ht="15.75" customHeight="1">
      <c r="A1003" s="14"/>
      <c r="B1003" s="14"/>
      <c r="C1003" s="14"/>
      <c r="D1003" s="14"/>
      <c r="E1003" s="14"/>
      <c r="F1003" s="16"/>
      <c r="G1003" s="16"/>
      <c r="H1003" s="17"/>
      <c r="I1003" s="14"/>
    </row>
    <row r="1004" ht="15.75" customHeight="1">
      <c r="A1004" s="14"/>
      <c r="B1004" s="14"/>
      <c r="C1004" s="14"/>
      <c r="D1004" s="14"/>
      <c r="E1004" s="14"/>
      <c r="F1004" s="16"/>
      <c r="G1004" s="16"/>
      <c r="H1004" s="17"/>
      <c r="I1004" s="14"/>
    </row>
    <row r="1005" ht="15.75" customHeight="1">
      <c r="A1005" s="14"/>
      <c r="B1005" s="14"/>
      <c r="C1005" s="14"/>
      <c r="D1005" s="14"/>
      <c r="E1005" s="14"/>
      <c r="F1005" s="16"/>
      <c r="G1005" s="16"/>
      <c r="H1005" s="17"/>
      <c r="I1005" s="14"/>
    </row>
    <row r="1006" ht="15.75" customHeight="1">
      <c r="A1006" s="14"/>
      <c r="B1006" s="14"/>
      <c r="C1006" s="14"/>
      <c r="D1006" s="14"/>
      <c r="E1006" s="14"/>
      <c r="F1006" s="16"/>
      <c r="G1006" s="16"/>
      <c r="H1006" s="17"/>
      <c r="I1006" s="14"/>
    </row>
    <row r="1007" ht="15.75" customHeight="1">
      <c r="A1007" s="14"/>
      <c r="B1007" s="14"/>
      <c r="C1007" s="14"/>
      <c r="D1007" s="14"/>
      <c r="E1007" s="14"/>
      <c r="F1007" s="16"/>
      <c r="G1007" s="16"/>
      <c r="H1007" s="17"/>
      <c r="I1007" s="14"/>
    </row>
    <row r="1008" ht="15.75" customHeight="1">
      <c r="A1008" s="14"/>
      <c r="B1008" s="14"/>
      <c r="C1008" s="14"/>
      <c r="D1008" s="14"/>
      <c r="E1008" s="14"/>
      <c r="F1008" s="16"/>
      <c r="G1008" s="16"/>
      <c r="H1008" s="17"/>
      <c r="I1008" s="14"/>
    </row>
    <row r="1009" ht="15.75" customHeight="1">
      <c r="A1009" s="14"/>
      <c r="B1009" s="14"/>
      <c r="C1009" s="14"/>
      <c r="D1009" s="14"/>
      <c r="E1009" s="14"/>
      <c r="F1009" s="16"/>
      <c r="G1009" s="16"/>
      <c r="H1009" s="17"/>
      <c r="I1009" s="14"/>
    </row>
    <row r="1010" ht="15.75" customHeight="1">
      <c r="A1010" s="14"/>
      <c r="B1010" s="14"/>
      <c r="C1010" s="14"/>
      <c r="D1010" s="14"/>
      <c r="E1010" s="14"/>
      <c r="F1010" s="16"/>
      <c r="G1010" s="16"/>
      <c r="H1010" s="17"/>
      <c r="I1010" s="14"/>
    </row>
    <row r="1011" ht="15.75" customHeight="1">
      <c r="A1011" s="14"/>
      <c r="B1011" s="14"/>
      <c r="C1011" s="14"/>
      <c r="D1011" s="14"/>
      <c r="E1011" s="14"/>
      <c r="F1011" s="16"/>
      <c r="G1011" s="16"/>
      <c r="H1011" s="17"/>
      <c r="I1011" s="14"/>
    </row>
    <row r="1012" ht="15.75" customHeight="1">
      <c r="A1012" s="14"/>
      <c r="B1012" s="14"/>
      <c r="C1012" s="14"/>
      <c r="D1012" s="14"/>
      <c r="E1012" s="14"/>
      <c r="F1012" s="16"/>
      <c r="G1012" s="16"/>
      <c r="H1012" s="17"/>
      <c r="I1012" s="14"/>
    </row>
    <row r="1013" ht="15.75" customHeight="1">
      <c r="A1013" s="14"/>
      <c r="B1013" s="14"/>
      <c r="C1013" s="14"/>
      <c r="D1013" s="14"/>
      <c r="E1013" s="14"/>
      <c r="F1013" s="16"/>
      <c r="G1013" s="16"/>
      <c r="H1013" s="17"/>
      <c r="I1013" s="14"/>
    </row>
    <row r="1014" ht="15.75" customHeight="1">
      <c r="A1014" s="14"/>
      <c r="B1014" s="14"/>
      <c r="C1014" s="14"/>
      <c r="D1014" s="14"/>
      <c r="E1014" s="14"/>
      <c r="F1014" s="16"/>
      <c r="G1014" s="16"/>
      <c r="H1014" s="17"/>
      <c r="I1014" s="14"/>
    </row>
    <row r="1015" ht="15.75" customHeight="1">
      <c r="A1015" s="14"/>
      <c r="B1015" s="14"/>
      <c r="C1015" s="14"/>
      <c r="D1015" s="14"/>
      <c r="E1015" s="14"/>
      <c r="F1015" s="16"/>
      <c r="G1015" s="16"/>
      <c r="H1015" s="17"/>
      <c r="I1015" s="14"/>
    </row>
    <row r="1016" ht="15.75" customHeight="1">
      <c r="A1016" s="14"/>
      <c r="B1016" s="14"/>
      <c r="C1016" s="14"/>
      <c r="D1016" s="14"/>
      <c r="E1016" s="14"/>
      <c r="F1016" s="16"/>
      <c r="G1016" s="16"/>
      <c r="H1016" s="17"/>
      <c r="I1016" s="14"/>
    </row>
  </sheetData>
  <autoFilter ref="$A$1:$I$610">
    <filterColumn colId="2">
      <filters>
        <filter val="DN/complete/co-work"/>
        <filter val="BHS/complete/co-work"/>
        <filter val="DN/complete/no electronic documents available"/>
        <filter val="DN/complete/no matching orders"/>
        <filter val="GFB/complete/co-work"/>
        <filter val="DN/complete/supplemented RA download"/>
        <filter val="BHS/complete/manual download"/>
        <filter val="DN/complete/no marching orders"/>
        <filter val="GFB/manual/complete"/>
        <filter val="DN/complete/no electronic records avail"/>
        <filter val="DN/COMPLETE/co-work"/>
        <filter val="DN/complete/manual"/>
        <filter val="Complete/already downloaded"/>
      </filters>
    </filterColumn>
    <sortState ref="A1:I610">
      <sortCondition ref="A1:A610"/>
    </sortState>
  </autoFilter>
  <printOptions/>
  <pageMargins bottom="0.75" footer="0.0" header="0.0" left="0.7" right="0.7" top="0.75"/>
  <pageSetup orientation="landscape"/>
  <drawing r:id="rId1"/>
</worksheet>
</file>